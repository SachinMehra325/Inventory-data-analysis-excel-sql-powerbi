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\Excel Projects\Excel + PowerBI\Inventory Management Analysis Project\"/>
    </mc:Choice>
  </mc:AlternateContent>
  <xr:revisionPtr revIDLastSave="0" documentId="13_ncr:1_{6659FCAC-4EB0-4C1C-B80B-BBD7EE236F5B}" xr6:coauthVersionLast="47" xr6:coauthVersionMax="47" xr10:uidLastSave="{00000000-0000-0000-0000-000000000000}"/>
  <bookViews>
    <workbookView xWindow="-108" yWindow="-108" windowWidth="23256" windowHeight="12456" xr2:uid="{170ADB70-DB51-477B-9532-AC07B24FE7E6}"/>
  </bookViews>
  <sheets>
    <sheet name="inventory_dataset" sheetId="1" r:id="rId1"/>
    <sheet name="Sheet1" sheetId="2" r:id="rId2"/>
    <sheet name="Sheet2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<sst xmlns="http://schemas.openxmlformats.org/spreadsheetml/2006/main" count="3028" uniqueCount="1026">
  <si>
    <t>Product_ID</t>
  </si>
  <si>
    <t>Product</t>
  </si>
  <si>
    <t>Stock</t>
  </si>
  <si>
    <t>Reorder_Level</t>
  </si>
  <si>
    <t>Supplier</t>
  </si>
  <si>
    <t>Price</t>
  </si>
  <si>
    <t>P1000</t>
  </si>
  <si>
    <t>Mouse</t>
  </si>
  <si>
    <t>ABC Ltd</t>
  </si>
  <si>
    <t>P1001</t>
  </si>
  <si>
    <t>XYZ Ltd</t>
  </si>
  <si>
    <t>P1002</t>
  </si>
  <si>
    <t>Mobile</t>
  </si>
  <si>
    <t>Global Traders</t>
  </si>
  <si>
    <t>P1003</t>
  </si>
  <si>
    <t>Monitor</t>
  </si>
  <si>
    <t>TechCorp</t>
  </si>
  <si>
    <t>P1004</t>
  </si>
  <si>
    <t>Keyboard</t>
  </si>
  <si>
    <t>P1005</t>
  </si>
  <si>
    <t>Printer</t>
  </si>
  <si>
    <t>P1006</t>
  </si>
  <si>
    <t>P1007</t>
  </si>
  <si>
    <t>Laptop</t>
  </si>
  <si>
    <t>P1008</t>
  </si>
  <si>
    <t>Tablet</t>
  </si>
  <si>
    <t>SupplyHub</t>
  </si>
  <si>
    <t>P1009</t>
  </si>
  <si>
    <t>P1010</t>
  </si>
  <si>
    <t>Headphones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</si>
  <si>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</si>
  <si>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</si>
  <si>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</si>
  <si>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</si>
  <si>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</si>
  <si>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</si>
  <si>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</si>
  <si>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</si>
  <si>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</si>
  <si>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</si>
  <si>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</si>
  <si>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</si>
  <si>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</si>
  <si>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</si>
  <si>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</si>
  <si>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</si>
  <si>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</si>
  <si>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</si>
  <si>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</si>
  <si>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</si>
  <si>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</si>
  <si>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</si>
  <si>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</si>
  <si>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</si>
  <si>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</si>
  <si>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</si>
  <si>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</si>
  <si>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</si>
  <si>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</si>
  <si>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</si>
  <si>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</si>
  <si>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</si>
  <si>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</si>
  <si>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</si>
  <si>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</si>
  <si>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</si>
  <si>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</si>
  <si>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</si>
  <si>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</si>
  <si>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</si>
  <si>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</si>
  <si>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</si>
  <si>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</si>
  <si>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</si>
  <si>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</si>
  <si>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</si>
  <si>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</si>
  <si>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</si>
  <si>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</si>
  <si>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</si>
  <si>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</si>
  <si>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</si>
  <si>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</si>
  <si>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</si>
  <si>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</si>
  <si>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</si>
  <si>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</si>
  <si>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</si>
  <si>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</si>
  <si>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</si>
  <si>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</si>
  <si>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</si>
  <si>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</si>
  <si>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</si>
  <si>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</si>
  <si>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</si>
  <si>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</si>
  <si>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</si>
  <si>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</si>
  <si>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</si>
  <si>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</si>
  <si>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</si>
  <si>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</si>
  <si>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</si>
  <si>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</si>
  <si>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</si>
  <si>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</si>
  <si>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</si>
  <si>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</si>
  <si>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</si>
  <si>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</si>
  <si>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</si>
  <si>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</si>
  <si>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</si>
  <si>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</si>
  <si>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</si>
  <si>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</si>
  <si>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</si>
  <si>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</si>
  <si>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</si>
  <si>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</si>
  <si>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</si>
  <si>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</si>
  <si>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</si>
  <si>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</si>
  <si>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</si>
  <si>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</si>
  <si>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</si>
  <si>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</si>
  <si>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</si>
  <si>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</si>
  <si>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</si>
  <si>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</si>
  <si>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</si>
  <si>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</si>
  <si>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</si>
  <si>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</si>
  <si>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</si>
  <si>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</si>
  <si>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</si>
  <si>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</si>
  <si>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</si>
  <si>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</si>
  <si>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</si>
  <si>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</si>
  <si>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</si>
  <si>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</si>
  <si>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</si>
  <si>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</si>
  <si>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</si>
  <si>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</si>
  <si>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</si>
  <si>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</si>
  <si>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</si>
  <si>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</si>
  <si>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</si>
  <si>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</si>
  <si>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</si>
  <si>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</si>
  <si>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</si>
  <si>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</si>
  <si>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</si>
  <si>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</si>
  <si>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</si>
  <si>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</si>
  <si>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</si>
  <si>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</si>
  <si>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</si>
  <si>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</si>
  <si>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</si>
  <si>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</si>
  <si>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</si>
  <si>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</si>
  <si>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</si>
  <si>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</si>
  <si>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</si>
  <si>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</si>
  <si>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</si>
  <si>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</si>
  <si>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</si>
  <si>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</si>
  <si>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</si>
  <si>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</si>
  <si>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</si>
  <si>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</si>
  <si>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</si>
  <si>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</si>
  <si>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</si>
  <si>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</si>
  <si>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</si>
  <si>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</si>
  <si>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</si>
  <si>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</si>
  <si>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</si>
  <si>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</si>
  <si>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</si>
  <si>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</si>
  <si>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</si>
  <si>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</si>
  <si>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</si>
  <si>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</si>
  <si>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</si>
  <si>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</si>
  <si>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</si>
  <si>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</si>
  <si>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</si>
  <si>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</si>
  <si>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</si>
  <si>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</si>
  <si>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</si>
  <si>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</si>
  <si>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</si>
  <si>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</si>
  <si>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</si>
  <si>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</si>
  <si>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</si>
  <si>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</si>
  <si>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</si>
  <si>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</si>
  <si>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</si>
  <si>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</si>
  <si>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</si>
  <si>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</si>
  <si>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</si>
  <si>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</si>
  <si>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</si>
  <si>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</si>
  <si>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</si>
  <si>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</si>
  <si>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</si>
  <si>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</si>
  <si>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</si>
  <si>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</si>
  <si>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</si>
  <si>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</si>
  <si>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</si>
  <si>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</si>
  <si>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</si>
  <si>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</si>
  <si>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</si>
  <si>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</si>
  <si>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</si>
  <si>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</si>
  <si>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</si>
  <si>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</si>
  <si>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</si>
  <si>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</si>
  <si>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</si>
  <si>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</si>
  <si>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</si>
  <si>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</si>
  <si>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</si>
  <si>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</si>
  <si>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</si>
  <si>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</si>
  <si>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</si>
  <si>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</si>
  <si>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</si>
  <si>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</si>
  <si>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</si>
  <si>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</si>
  <si>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</si>
  <si>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</si>
  <si>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</si>
  <si>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</si>
  <si>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</si>
  <si>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</si>
  <si>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</si>
  <si>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</si>
  <si>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</si>
  <si>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</si>
  <si>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</si>
  <si>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</si>
  <si>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</si>
  <si>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</si>
  <si>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</si>
  <si>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</si>
  <si>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</si>
  <si>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</si>
  <si>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</si>
  <si>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</si>
  <si>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</si>
  <si>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</si>
  <si>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</si>
  <si>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</si>
  <si>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</si>
  <si>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</si>
  <si>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</si>
  <si>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</si>
  <si>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</si>
  <si>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</si>
  <si>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</si>
  <si>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</si>
  <si>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</si>
  <si>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</si>
  <si>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</si>
  <si>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</si>
  <si>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</si>
  <si>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</si>
  <si>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</si>
  <si>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</si>
  <si>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</si>
  <si>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</si>
  <si>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</si>
  <si>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</si>
  <si>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</si>
  <si>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</si>
  <si>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</si>
  <si>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</si>
  <si>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</si>
  <si>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</si>
  <si>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</si>
  <si>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</si>
  <si>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</si>
  <si>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</si>
  <si>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</si>
  <si>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</si>
  <si>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</si>
  <si>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</si>
  <si>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</si>
  <si>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</si>
  <si>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</si>
  <si>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</si>
  <si>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</si>
  <si>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</si>
  <si>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</si>
  <si>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</si>
  <si>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</si>
  <si>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</si>
  <si>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</si>
  <si>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</si>
  <si>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</si>
  <si>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</si>
  <si>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</si>
  <si>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</si>
  <si>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</si>
  <si>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</si>
  <si>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</si>
  <si>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</si>
  <si>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</si>
  <si>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</si>
  <si>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</si>
  <si>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</si>
  <si>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</si>
  <si>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</si>
  <si>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</si>
  <si>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</si>
  <si>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</si>
  <si>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</si>
  <si>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</si>
  <si>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</si>
  <si>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</si>
  <si>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</si>
  <si>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</si>
  <si>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</si>
  <si>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</si>
  <si>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</si>
  <si>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</si>
  <si>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</si>
  <si>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</si>
  <si>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</si>
  <si>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</si>
  <si>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</si>
  <si>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</si>
  <si>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</si>
  <si>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</si>
  <si>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</si>
  <si>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</si>
  <si>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</si>
  <si>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</si>
  <si>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</si>
  <si>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</si>
  <si>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</si>
  <si>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</si>
  <si>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</si>
  <si>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</si>
  <si>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</si>
  <si>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</si>
  <si>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</si>
  <si>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</si>
  <si>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</si>
  <si>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</si>
  <si>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</si>
  <si>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</si>
  <si>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</si>
  <si>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</si>
  <si>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</si>
  <si>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</si>
  <si>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</si>
  <si>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</si>
  <si>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</si>
  <si>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</si>
  <si>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</si>
  <si>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</si>
  <si>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</si>
  <si>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</si>
  <si>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</si>
  <si>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</si>
  <si>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</si>
  <si>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</si>
  <si>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</si>
  <si>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</si>
  <si>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</si>
  <si>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</si>
  <si>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</si>
  <si>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</si>
  <si>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</si>
  <si>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</si>
  <si>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</si>
  <si>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</si>
  <si>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</si>
  <si>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</si>
  <si>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</si>
  <si>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</si>
  <si>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</si>
  <si>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</si>
  <si>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</si>
  <si>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</si>
  <si>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</si>
  <si>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</si>
  <si>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</si>
  <si>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</si>
  <si>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</si>
  <si>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</si>
  <si>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</si>
  <si>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</si>
  <si>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</si>
  <si>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</si>
  <si>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</si>
  <si>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</si>
  <si>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</si>
  <si>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</si>
  <si>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</si>
  <si>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</si>
  <si>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</si>
  <si>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</si>
  <si>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</si>
  <si>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</si>
  <si>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</si>
  <si>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</si>
  <si>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</si>
  <si>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</si>
  <si>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</si>
  <si>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</si>
  <si>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</si>
  <si>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</si>
  <si>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</si>
  <si>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</si>
  <si>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</si>
  <si>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</si>
  <si>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</si>
  <si>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</si>
  <si>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</si>
  <si>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</si>
  <si>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</si>
  <si>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</si>
  <si>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</si>
  <si>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</si>
  <si>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</si>
  <si>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</si>
  <si>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</si>
  <si>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</si>
  <si>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</si>
  <si>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</si>
  <si>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</si>
  <si>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</si>
  <si>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</si>
  <si>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</si>
  <si>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</si>
  <si>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</si>
  <si>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</si>
  <si>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</si>
  <si>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</si>
  <si>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</si>
  <si>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</si>
  <si>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</si>
  <si>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</si>
  <si>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</si>
  <si>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</si>
  <si>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</si>
  <si>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</si>
  <si>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</si>
  <si>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</si>
  <si>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</si>
  <si>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</si>
  <si>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</si>
  <si>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</si>
  <si>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</si>
  <si>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</si>
  <si>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</si>
  <si>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</si>
  <si>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</si>
  <si>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</si>
  <si>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</si>
  <si>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</si>
  <si>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</si>
  <si>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</si>
  <si>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</si>
  <si>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</si>
  <si>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</si>
  <si>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</si>
  <si>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</si>
  <si>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</si>
  <si>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</si>
  <si>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</si>
  <si>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</si>
  <si>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</si>
  <si>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</si>
  <si>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</si>
  <si>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</si>
  <si>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</si>
  <si>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</si>
  <si>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</si>
  <si>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</si>
  <si>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</si>
  <si>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</si>
  <si>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</si>
  <si>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</si>
  <si>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</si>
  <si>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</si>
  <si>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</si>
  <si>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</si>
  <si>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</si>
  <si>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</si>
  <si>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</si>
  <si>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</si>
  <si>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</si>
  <si>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</si>
  <si>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</si>
  <si>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</si>
  <si>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</si>
  <si>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</si>
  <si>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</si>
  <si>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</si>
  <si>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</si>
  <si>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</si>
  <si>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</si>
  <si>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</si>
  <si>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</si>
  <si>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</si>
  <si>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</si>
  <si>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</si>
  <si>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</si>
  <si>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</si>
  <si>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</si>
  <si>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</si>
  <si>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</si>
  <si>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</si>
  <si>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</si>
  <si>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</si>
  <si>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</si>
  <si>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</si>
  <si>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</si>
  <si>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</si>
  <si>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</si>
  <si>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</si>
  <si>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</si>
  <si>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</si>
  <si>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</si>
  <si>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</si>
  <si>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</si>
  <si>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</si>
  <si>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</si>
  <si>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</si>
  <si>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</si>
  <si>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</si>
  <si>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</si>
  <si>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</si>
  <si>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</si>
  <si>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</si>
  <si>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</si>
  <si>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</si>
  <si>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</si>
  <si>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</si>
  <si>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</si>
  <si>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</si>
  <si>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</si>
  <si>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</si>
  <si>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</si>
  <si>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</si>
  <si>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</si>
  <si>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</si>
  <si>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</si>
  <si>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</si>
  <si>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</si>
  <si>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</si>
  <si>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</si>
  <si>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</si>
  <si>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</si>
  <si>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</si>
  <si>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</si>
  <si>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</si>
  <si>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</si>
  <si>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</si>
  <si>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</si>
  <si>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</si>
  <si>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</si>
  <si>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</si>
  <si>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</si>
  <si>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</si>
  <si>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</si>
  <si>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</si>
  <si>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</si>
  <si>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</si>
  <si>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</si>
  <si>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</si>
  <si>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</si>
  <si>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</si>
  <si>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</si>
  <si>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</si>
  <si>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</si>
  <si>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</si>
  <si>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</si>
  <si>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</si>
  <si>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</si>
  <si>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</si>
  <si>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</si>
  <si>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</si>
  <si>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</si>
  <si>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</si>
  <si>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</si>
  <si>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</si>
  <si>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</si>
  <si>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</si>
  <si>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</si>
  <si>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</si>
  <si>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</si>
  <si>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</si>
  <si>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</si>
  <si>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</si>
  <si>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</si>
  <si>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</si>
  <si>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</si>
  <si>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</si>
  <si>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</si>
  <si>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</si>
  <si>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</si>
  <si>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</si>
  <si>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</si>
  <si>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</si>
  <si>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</si>
  <si>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</si>
  <si>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</si>
  <si>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</si>
  <si>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</si>
  <si>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</si>
  <si>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</si>
  <si>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</si>
  <si>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</si>
  <si>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</si>
  <si>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</si>
  <si>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</si>
  <si>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</si>
  <si>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</si>
  <si>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</si>
  <si>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</si>
  <si>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</si>
  <si>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</si>
  <si>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</si>
  <si>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</si>
  <si>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</si>
  <si>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</si>
  <si>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</si>
  <si>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</si>
  <si>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</si>
  <si>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</si>
  <si>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</si>
  <si>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</si>
  <si>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</si>
  <si>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</si>
  <si>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</si>
  <si>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</si>
  <si>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</si>
  <si>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</si>
  <si>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</si>
  <si>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</si>
  <si>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</si>
  <si>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</si>
  <si>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</si>
  <si>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</si>
  <si>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</si>
  <si>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</si>
  <si>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</si>
  <si>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</si>
  <si>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</si>
  <si>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</si>
  <si>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</si>
  <si>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</si>
  <si>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</si>
  <si>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</si>
  <si>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</si>
  <si>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</si>
  <si>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</si>
  <si>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</si>
  <si>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</si>
  <si>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</si>
  <si>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</si>
  <si>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</si>
  <si>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</si>
  <si>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</si>
  <si>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</si>
  <si>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</si>
  <si>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</si>
  <si>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</si>
  <si>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</si>
  <si>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</si>
  <si>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</si>
  <si>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</si>
  <si>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</si>
  <si>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</si>
  <si>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</si>
  <si>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</si>
  <si>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</si>
  <si>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</si>
  <si>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</si>
  <si>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</si>
  <si>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</si>
  <si>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</si>
  <si>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</si>
  <si>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</si>
  <si>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</si>
  <si>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</si>
  <si>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</si>
  <si>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</si>
  <si>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</si>
  <si>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</si>
  <si>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</si>
  <si>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</si>
  <si>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</si>
  <si>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</si>
  <si>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</si>
  <si>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</si>
  <si>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</si>
  <si>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</si>
  <si>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</si>
  <si>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</si>
  <si>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</si>
  <si>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</si>
  <si>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</si>
  <si>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</si>
  <si>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</si>
  <si>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</si>
  <si>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</si>
  <si>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</si>
  <si>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</si>
  <si>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</si>
  <si>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</si>
  <si>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</si>
  <si>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</si>
  <si>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</si>
  <si>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</si>
  <si>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</si>
  <si>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</si>
  <si>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</si>
  <si>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</si>
  <si>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</si>
  <si>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</si>
  <si>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</si>
  <si>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</si>
  <si>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</si>
  <si>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</si>
  <si>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</si>
  <si>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</si>
  <si>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</si>
  <si>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</si>
  <si>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</si>
  <si>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</si>
  <si>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</si>
  <si>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</si>
  <si>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</si>
  <si>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</si>
  <si>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</si>
  <si>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</si>
  <si>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</si>
  <si>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</si>
  <si>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</si>
  <si>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</si>
  <si>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</si>
  <si>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</si>
  <si>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</si>
  <si>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</si>
  <si>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</si>
  <si>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</si>
  <si>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</si>
  <si>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</si>
  <si>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</si>
  <si>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</si>
  <si>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</si>
  <si>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</si>
  <si>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</si>
  <si>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</si>
  <si>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</si>
  <si>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</si>
  <si>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</si>
  <si>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</si>
  <si>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</si>
  <si>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</si>
  <si>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</si>
  <si>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</si>
  <si>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</si>
  <si>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</si>
  <si>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</si>
  <si>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</si>
  <si>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</si>
  <si>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</si>
  <si>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</si>
  <si>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</si>
  <si>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</si>
  <si>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</si>
  <si>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</si>
  <si>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</si>
  <si>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</si>
  <si>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</si>
  <si>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</si>
  <si>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</si>
  <si>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</si>
  <si>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</si>
  <si>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</si>
  <si>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</si>
  <si>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</si>
  <si>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</si>
  <si>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</si>
  <si>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</si>
  <si>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</si>
  <si>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</si>
  <si>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</si>
  <si>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</si>
  <si>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</si>
  <si>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</si>
  <si>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</si>
  <si>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</si>
  <si>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</si>
  <si>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</si>
  <si>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</si>
  <si>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</si>
  <si>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</si>
  <si>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</si>
  <si>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</si>
  <si>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</si>
  <si>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</si>
  <si>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</si>
  <si>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</si>
  <si>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</si>
  <si>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</si>
  <si>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</si>
  <si>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</si>
  <si>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</si>
  <si>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</si>
  <si>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</si>
  <si>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</si>
  <si>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</si>
  <si>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</si>
  <si>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</si>
  <si>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</si>
  <si>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</si>
  <si>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</si>
  <si>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</si>
  <si>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</si>
  <si>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</si>
  <si>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</si>
  <si>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</si>
  <si>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</si>
  <si>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</si>
  <si>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</si>
  <si>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</si>
  <si>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</si>
  <si>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</si>
  <si>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</si>
  <si>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</si>
  <si>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</si>
  <si>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</si>
  <si>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</si>
  <si>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</si>
  <si>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</si>
  <si>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</si>
  <si>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</si>
  <si>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</si>
  <si>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</si>
  <si>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</si>
  <si>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</si>
  <si>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</si>
  <si>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</si>
  <si>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</si>
  <si>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</si>
  <si>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</si>
  <si>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</si>
  <si>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</si>
  <si>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</si>
  <si>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</si>
  <si>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</si>
  <si>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</si>
  <si>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</si>
  <si>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</si>
  <si>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</si>
  <si>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</si>
  <si>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</si>
  <si>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</si>
  <si>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</si>
  <si>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</si>
  <si>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</si>
  <si>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</si>
  <si>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</si>
  <si>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</si>
  <si>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</si>
  <si>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</si>
  <si>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</si>
  <si>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</si>
  <si>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</si>
  <si>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</si>
  <si>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</si>
  <si>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</si>
  <si>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</si>
  <si>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</si>
  <si>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</si>
  <si>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</si>
  <si>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</si>
  <si>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</si>
  <si>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</si>
  <si>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</si>
  <si>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</si>
  <si>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</si>
  <si>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</si>
  <si>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</si>
  <si>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</si>
  <si>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</si>
  <si>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</si>
  <si>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</si>
  <si>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</si>
  <si>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</si>
  <si>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</si>
  <si>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</si>
  <si>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</si>
  <si>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</si>
  <si>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</si>
  <si>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</si>
  <si>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</si>
  <si>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</si>
  <si>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</si>
  <si>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</si>
  <si>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</si>
  <si>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</si>
  <si>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</si>
  <si>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</si>
  <si>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</si>
  <si>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</si>
  <si>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</si>
  <si>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</si>
  <si>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</si>
  <si>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</si>
  <si>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</si>
  <si>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</si>
  <si>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</si>
  <si>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</si>
  <si>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</si>
  <si>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</si>
  <si>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</si>
  <si>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</si>
  <si>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</si>
  <si>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</si>
  <si>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</si>
  <si>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</si>
  <si>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</si>
  <si>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</si>
  <si>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</si>
  <si>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</si>
  <si>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</si>
  <si>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</si>
  <si>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</si>
  <si>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</si>
  <si>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</si>
  <si>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</si>
  <si>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</si>
  <si>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</si>
  <si>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</si>
  <si>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</si>
  <si>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</si>
  <si>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</si>
  <si>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</si>
  <si>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</si>
  <si>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</si>
  <si>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</si>
  <si>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</si>
  <si>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</si>
  <si>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</si>
  <si>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</si>
  <si>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</si>
  <si>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</si>
  <si>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</si>
  <si>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</si>
  <si>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</si>
  <si>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</si>
  <si>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</si>
  <si>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</si>
  <si>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</si>
  <si>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</si>
  <si>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</si>
  <si>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</si>
  <si>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</si>
  <si>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</si>
  <si>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</si>
  <si>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</si>
  <si>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</si>
  <si>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</si>
  <si>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</si>
  <si>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</si>
  <si>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</si>
  <si>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</si>
  <si>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</si>
  <si>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</si>
  <si>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</si>
  <si>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</si>
  <si>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</si>
  <si>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</si>
  <si>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</si>
  <si>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</si>
  <si>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</si>
  <si>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</si>
  <si>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</si>
  <si>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</si>
  <si>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Stock Status</t>
  </si>
  <si>
    <t>Invetory Value</t>
  </si>
  <si>
    <t>Profit Margin</t>
  </si>
  <si>
    <t>Row Labels</t>
  </si>
  <si>
    <t>Grand Total</t>
  </si>
  <si>
    <t>Sum of Stock</t>
  </si>
  <si>
    <t>Sum of Invetory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</si>
</sst>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rgb="FFFF0000"/>
        </patternFill>
      </fill>
    </dxf>
    <dxf>
      <fill>
        <patternFill>
          <bgColor rgb="FF00B05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ra" refreshedDate="46107.583403124998" createdVersion="8" refreshedVersion="8" minRefreshableVersion="3" recordCount="1000" xr:uid="{8A90F457-D75E-412D-9133-A047CF932330}">
  <cacheSource type="worksheet">
    <worksheetSource ref="A1:I1001" sheet="inventory_dataset"/>
  </cacheSource>
  <cacheFields count="9">
    <cacheField name="Product_ID" numFmtId="0">
      <sharedItems/>
    </cacheField>
    <cacheField name="Product" numFmtId="0">
      <sharedItems count="8">
        <s v="Mouse"/>
        <s v="Mobile"/>
        <s v="Monitor"/>
        <s v="Keyboard"/>
        <s v="Printer"/>
        <s v="Laptop"/>
        <s v="Tablet"/>
        <s v="Headphones"/>
      </sharedItems>
    </cacheField>
    <cacheField name="Stock" numFmtId="0">
      <sharedItems containsSemiMixedTypes="0" containsString="0" containsNumber="1" containsInteger="1" minValue="0" maxValue="200"/>
    </cacheField>
    <cacheField name="Reorder_Level" numFmtId="0">
      <sharedItems containsSemiMixedTypes="0" containsString="0" containsNumber="1" containsInteger="1" minValue="10" maxValue="50"/>
    </cacheField>
    <cacheField name="Supplier" numFmtId="0">
      <sharedItems count="5">
        <s v="ABC Ltd"/>
        <s v="XYZ Ltd"/>
        <s v="Global Traders"/>
        <s v="TechCorp"/>
        <s v="SupplyHub"/>
      </sharedItems>
    </cacheField>
    <cacheField name="Price" numFmtId="0">
      <sharedItems containsSemiMixedTypes="0" containsString="0" containsNumber="1" containsInteger="1" minValue="588" maxValue="79875"/>
    </cacheField>
    <cacheField name="Stock Status" numFmtId="0">
      <sharedItems/>
    </cacheField>
    <cacheField name="Invetory Value" numFmtId="0">
      <sharedItems containsSemiMixedTypes="0" containsString="0" containsNumber="1" containsInteger="1" minValue="0" maxValue="14836220"/>
    </cacheField>
    <cacheField name="Profit Margin" numFmtId="0">
      <sharedItems containsSemiMixedTypes="0" containsString="0" containsNumber="1" minValue="117.60000000000001" maxValue="159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1000"/>
    <x v="0"/>
    <n v="90"/>
    <n v="28"/>
    <x v="0"/>
    <n v="30895"/>
    <s v="Sufficient"/>
    <n v="2780550"/>
    <n v="6179"/>
  </r>
  <r>
    <s v="P1001"/>
    <x v="0"/>
    <n v="141"/>
    <n v="41"/>
    <x v="1"/>
    <n v="57504"/>
    <s v="Sufficient"/>
    <n v="8108064"/>
    <n v="11500.800000000001"/>
  </r>
  <r>
    <s v="P1002"/>
    <x v="1"/>
    <n v="99"/>
    <n v="36"/>
    <x v="2"/>
    <n v="75038"/>
    <s v="Sufficient"/>
    <n v="7428762"/>
    <n v="15007.6"/>
  </r>
  <r>
    <s v="P1003"/>
    <x v="2"/>
    <n v="2"/>
    <n v="24"/>
    <x v="3"/>
    <n v="38582"/>
    <s v="Low Stock"/>
    <n v="77164"/>
    <n v="7716.4000000000005"/>
  </r>
  <r>
    <s v="P1004"/>
    <x v="3"/>
    <n v="108"/>
    <n v="38"/>
    <x v="1"/>
    <n v="10016"/>
    <s v="Sufficient"/>
    <n v="1081728"/>
    <n v="2003.2"/>
  </r>
  <r>
    <s v="P1005"/>
    <x v="4"/>
    <n v="158"/>
    <n v="48"/>
    <x v="2"/>
    <n v="65852"/>
    <s v="Sufficient"/>
    <n v="10404616"/>
    <n v="13170.400000000001"/>
  </r>
  <r>
    <s v="P1006"/>
    <x v="1"/>
    <n v="82"/>
    <n v="21"/>
    <x v="3"/>
    <n v="40695"/>
    <s v="Sufficient"/>
    <n v="3336990"/>
    <n v="8139"/>
  </r>
  <r>
    <s v="P1007"/>
    <x v="5"/>
    <n v="71"/>
    <n v="16"/>
    <x v="2"/>
    <n v="38819"/>
    <s v="Sufficient"/>
    <n v="2756149"/>
    <n v="7763.8"/>
  </r>
  <r>
    <s v="P1008"/>
    <x v="6"/>
    <n v="174"/>
    <n v="37"/>
    <x v="4"/>
    <n v="13666"/>
    <s v="Sufficient"/>
    <n v="2377884"/>
    <n v="2733.2000000000003"/>
  </r>
  <r>
    <s v="P1009"/>
    <x v="3"/>
    <n v="199"/>
    <n v="29"/>
    <x v="2"/>
    <n v="30774"/>
    <s v="Sufficient"/>
    <n v="6124026"/>
    <n v="6154.8"/>
  </r>
  <r>
    <s v="P1010"/>
    <x v="7"/>
    <n v="21"/>
    <n v="31"/>
    <x v="1"/>
    <n v="70928"/>
    <s v="Low Stock"/>
    <n v="1489488"/>
    <n v="14185.6"/>
  </r>
  <r>
    <s v="P1011"/>
    <x v="1"/>
    <n v="175"/>
    <n v="28"/>
    <x v="0"/>
    <n v="64619"/>
    <s v="Sufficient"/>
    <n v="11308325"/>
    <n v="12923.800000000001"/>
  </r>
  <r>
    <s v="P1012"/>
    <x v="4"/>
    <n v="105"/>
    <n v="48"/>
    <x v="0"/>
    <n v="44844"/>
    <s v="Sufficient"/>
    <n v="4708620"/>
    <n v="8968.8000000000011"/>
  </r>
  <r>
    <s v="P1013"/>
    <x v="0"/>
    <n v="150"/>
    <n v="35"/>
    <x v="4"/>
    <n v="45643"/>
    <s v="Sufficient"/>
    <n v="6846450"/>
    <n v="9128.6"/>
  </r>
  <r>
    <s v="P1014"/>
    <x v="6"/>
    <n v="160"/>
    <n v="50"/>
    <x v="3"/>
    <n v="60348"/>
    <s v="Sufficient"/>
    <n v="9655680"/>
    <n v="12069.6"/>
  </r>
  <r>
    <s v="P1015"/>
    <x v="4"/>
    <n v="13"/>
    <n v="14"/>
    <x v="0"/>
    <n v="54972"/>
    <s v="Low Stock"/>
    <n v="714636"/>
    <n v="10994.400000000001"/>
  </r>
  <r>
    <s v="P1016"/>
    <x v="4"/>
    <n v="96"/>
    <n v="42"/>
    <x v="2"/>
    <n v="59523"/>
    <s v="Sufficient"/>
    <n v="5714208"/>
    <n v="11904.6"/>
  </r>
  <r>
    <s v="P1017"/>
    <x v="3"/>
    <n v="146"/>
    <n v="46"/>
    <x v="4"/>
    <n v="2066"/>
    <s v="Sufficient"/>
    <n v="301636"/>
    <n v="413.20000000000005"/>
  </r>
  <r>
    <s v="P1018"/>
    <x v="3"/>
    <n v="3"/>
    <n v="29"/>
    <x v="4"/>
    <n v="62725"/>
    <s v="Low Stock"/>
    <n v="188175"/>
    <n v="12545"/>
  </r>
  <r>
    <s v="P1019"/>
    <x v="3"/>
    <n v="58"/>
    <n v="18"/>
    <x v="4"/>
    <n v="28696"/>
    <s v="Sufficient"/>
    <n v="1664368"/>
    <n v="5739.2000000000007"/>
  </r>
  <r>
    <s v="P1020"/>
    <x v="4"/>
    <n v="71"/>
    <n v="23"/>
    <x v="0"/>
    <n v="33297"/>
    <s v="Sufficient"/>
    <n v="2364087"/>
    <n v="6659.4000000000005"/>
  </r>
  <r>
    <s v="P1021"/>
    <x v="7"/>
    <n v="193"/>
    <n v="25"/>
    <x v="0"/>
    <n v="9344"/>
    <s v="Sufficient"/>
    <n v="1803392"/>
    <n v="1868.8000000000002"/>
  </r>
  <r>
    <s v="P1022"/>
    <x v="1"/>
    <n v="55"/>
    <n v="42"/>
    <x v="1"/>
    <n v="63390"/>
    <s v="Sufficient"/>
    <n v="3486450"/>
    <n v="12678"/>
  </r>
  <r>
    <s v="P1023"/>
    <x v="3"/>
    <n v="98"/>
    <n v="33"/>
    <x v="4"/>
    <n v="32189"/>
    <s v="Sufficient"/>
    <n v="3154522"/>
    <n v="6437.8"/>
  </r>
  <r>
    <s v="P1024"/>
    <x v="7"/>
    <n v="87"/>
    <n v="18"/>
    <x v="4"/>
    <n v="48746"/>
    <s v="Sufficient"/>
    <n v="4240902"/>
    <n v="9749.2000000000007"/>
  </r>
  <r>
    <s v="P1025"/>
    <x v="6"/>
    <n v="43"/>
    <n v="44"/>
    <x v="1"/>
    <n v="54442"/>
    <s v="Low Stock"/>
    <n v="2341006"/>
    <n v="10888.400000000001"/>
  </r>
  <r>
    <s v="P1026"/>
    <x v="7"/>
    <n v="28"/>
    <n v="27"/>
    <x v="2"/>
    <n v="75752"/>
    <s v="Sufficient"/>
    <n v="2121056"/>
    <n v="15150.400000000001"/>
  </r>
  <r>
    <s v="P1027"/>
    <x v="5"/>
    <n v="106"/>
    <n v="46"/>
    <x v="2"/>
    <n v="28813"/>
    <s v="Sufficient"/>
    <n v="3054178"/>
    <n v="5762.6"/>
  </r>
  <r>
    <s v="P1028"/>
    <x v="6"/>
    <n v="162"/>
    <n v="15"/>
    <x v="0"/>
    <n v="56815"/>
    <s v="Sufficient"/>
    <n v="9204030"/>
    <n v="11363"/>
  </r>
  <r>
    <s v="P1029"/>
    <x v="1"/>
    <n v="140"/>
    <n v="47"/>
    <x v="3"/>
    <n v="48184"/>
    <s v="Sufficient"/>
    <n v="6745760"/>
    <n v="9636.8000000000011"/>
  </r>
  <r>
    <s v="P1030"/>
    <x v="1"/>
    <n v="22"/>
    <n v="39"/>
    <x v="0"/>
    <n v="67449"/>
    <s v="Low Stock"/>
    <n v="1483878"/>
    <n v="13489.800000000001"/>
  </r>
  <r>
    <s v="P1031"/>
    <x v="2"/>
    <n v="96"/>
    <n v="14"/>
    <x v="0"/>
    <n v="33961"/>
    <s v="Sufficient"/>
    <n v="3260256"/>
    <n v="6792.2000000000007"/>
  </r>
  <r>
    <s v="P1032"/>
    <x v="7"/>
    <n v="12"/>
    <n v="29"/>
    <x v="4"/>
    <n v="48113"/>
    <s v="Low Stock"/>
    <n v="577356"/>
    <n v="9622.6"/>
  </r>
  <r>
    <s v="P1033"/>
    <x v="5"/>
    <n v="117"/>
    <n v="13"/>
    <x v="2"/>
    <n v="45607"/>
    <s v="Sufficient"/>
    <n v="5336019"/>
    <n v="9121.4"/>
  </r>
  <r>
    <s v="P1034"/>
    <x v="0"/>
    <n v="187"/>
    <n v="50"/>
    <x v="1"/>
    <n v="74554"/>
    <s v="Sufficient"/>
    <n v="13941598"/>
    <n v="14910.800000000001"/>
  </r>
  <r>
    <s v="P1035"/>
    <x v="0"/>
    <n v="176"/>
    <n v="10"/>
    <x v="3"/>
    <n v="9875"/>
    <s v="Sufficient"/>
    <n v="1738000"/>
    <n v="1975"/>
  </r>
  <r>
    <s v="P1036"/>
    <x v="5"/>
    <n v="78"/>
    <n v="29"/>
    <x v="1"/>
    <n v="76728"/>
    <s v="Sufficient"/>
    <n v="5984784"/>
    <n v="15345.6"/>
  </r>
  <r>
    <s v="P1037"/>
    <x v="3"/>
    <n v="155"/>
    <n v="49"/>
    <x v="1"/>
    <n v="29527"/>
    <s v="Sufficient"/>
    <n v="4576685"/>
    <n v="5905.4000000000005"/>
  </r>
  <r>
    <s v="P1038"/>
    <x v="1"/>
    <n v="198"/>
    <n v="22"/>
    <x v="4"/>
    <n v="12072"/>
    <s v="Sufficient"/>
    <n v="2390256"/>
    <n v="2414.4"/>
  </r>
  <r>
    <s v="P1039"/>
    <x v="2"/>
    <n v="188"/>
    <n v="27"/>
    <x v="2"/>
    <n v="50428"/>
    <s v="Sufficient"/>
    <n v="9480464"/>
    <n v="10085.6"/>
  </r>
  <r>
    <s v="P1040"/>
    <x v="7"/>
    <n v="81"/>
    <n v="19"/>
    <x v="0"/>
    <n v="11635"/>
    <s v="Sufficient"/>
    <n v="942435"/>
    <n v="2327"/>
  </r>
  <r>
    <s v="P1041"/>
    <x v="0"/>
    <n v="64"/>
    <n v="36"/>
    <x v="3"/>
    <n v="47502"/>
    <s v="Sufficient"/>
    <n v="3040128"/>
    <n v="9500.4"/>
  </r>
  <r>
    <s v="P1042"/>
    <x v="2"/>
    <n v="27"/>
    <n v="29"/>
    <x v="4"/>
    <n v="32738"/>
    <s v="Low Stock"/>
    <n v="883926"/>
    <n v="6547.6"/>
  </r>
  <r>
    <s v="P1043"/>
    <x v="5"/>
    <n v="110"/>
    <n v="34"/>
    <x v="2"/>
    <n v="29837"/>
    <s v="Sufficient"/>
    <n v="3282070"/>
    <n v="5967.4000000000005"/>
  </r>
  <r>
    <s v="P1044"/>
    <x v="3"/>
    <n v="191"/>
    <n v="43"/>
    <x v="2"/>
    <n v="58189"/>
    <s v="Sufficient"/>
    <n v="11114099"/>
    <n v="11637.800000000001"/>
  </r>
  <r>
    <s v="P1045"/>
    <x v="6"/>
    <n v="54"/>
    <n v="19"/>
    <x v="1"/>
    <n v="10381"/>
    <s v="Sufficient"/>
    <n v="560574"/>
    <n v="2076.2000000000003"/>
  </r>
  <r>
    <s v="P1046"/>
    <x v="2"/>
    <n v="3"/>
    <n v="38"/>
    <x v="2"/>
    <n v="30238"/>
    <s v="Low Stock"/>
    <n v="90714"/>
    <n v="6047.6"/>
  </r>
  <r>
    <s v="P1047"/>
    <x v="3"/>
    <n v="0"/>
    <n v="37"/>
    <x v="0"/>
    <n v="63102"/>
    <s v="Pending"/>
    <n v="0"/>
    <n v="12620.400000000001"/>
  </r>
  <r>
    <s v="P1048"/>
    <x v="5"/>
    <n v="147"/>
    <n v="24"/>
    <x v="4"/>
    <n v="53564"/>
    <s v="Sufficient"/>
    <n v="7873908"/>
    <n v="10712.800000000001"/>
  </r>
  <r>
    <s v="P1049"/>
    <x v="5"/>
    <n v="131"/>
    <n v="24"/>
    <x v="4"/>
    <n v="70827"/>
    <s v="Sufficient"/>
    <n v="9278337"/>
    <n v="14165.400000000001"/>
  </r>
  <r>
    <s v="P1050"/>
    <x v="6"/>
    <n v="143"/>
    <n v="13"/>
    <x v="0"/>
    <n v="71633"/>
    <s v="Sufficient"/>
    <n v="10243519"/>
    <n v="14326.6"/>
  </r>
  <r>
    <s v="P1051"/>
    <x v="6"/>
    <n v="70"/>
    <n v="29"/>
    <x v="0"/>
    <n v="60857"/>
    <s v="Sufficient"/>
    <n v="4259990"/>
    <n v="12171.400000000001"/>
  </r>
  <r>
    <s v="P1052"/>
    <x v="4"/>
    <n v="146"/>
    <n v="29"/>
    <x v="3"/>
    <n v="14007"/>
    <s v="Sufficient"/>
    <n v="2045022"/>
    <n v="2801.4"/>
  </r>
  <r>
    <s v="P1053"/>
    <x v="0"/>
    <n v="181"/>
    <n v="34"/>
    <x v="4"/>
    <n v="46397"/>
    <s v="Sufficient"/>
    <n v="8397857"/>
    <n v="9279.4"/>
  </r>
  <r>
    <s v="P1054"/>
    <x v="4"/>
    <n v="191"/>
    <n v="11"/>
    <x v="0"/>
    <n v="4631"/>
    <s v="Sufficient"/>
    <n v="884521"/>
    <n v="926.2"/>
  </r>
  <r>
    <s v="P1055"/>
    <x v="1"/>
    <n v="12"/>
    <n v="35"/>
    <x v="1"/>
    <n v="48636"/>
    <s v="Low Stock"/>
    <n v="583632"/>
    <n v="9727.2000000000007"/>
  </r>
  <r>
    <s v="P1056"/>
    <x v="1"/>
    <n v="177"/>
    <n v="33"/>
    <x v="3"/>
    <n v="17966"/>
    <s v="Sufficient"/>
    <n v="3179982"/>
    <n v="3593.2000000000003"/>
  </r>
  <r>
    <s v="P1057"/>
    <x v="5"/>
    <n v="104"/>
    <n v="15"/>
    <x v="4"/>
    <n v="37998"/>
    <s v="Sufficient"/>
    <n v="3951792"/>
    <n v="7599.6"/>
  </r>
  <r>
    <s v="P1058"/>
    <x v="0"/>
    <n v="196"/>
    <n v="37"/>
    <x v="0"/>
    <n v="64199"/>
    <s v="Sufficient"/>
    <n v="12583004"/>
    <n v="12839.800000000001"/>
  </r>
  <r>
    <s v="P1059"/>
    <x v="0"/>
    <n v="99"/>
    <n v="25"/>
    <x v="1"/>
    <n v="42857"/>
    <s v="Sufficient"/>
    <n v="4242843"/>
    <n v="8571.4"/>
  </r>
  <r>
    <s v="P1060"/>
    <x v="5"/>
    <n v="178"/>
    <n v="43"/>
    <x v="0"/>
    <n v="9771"/>
    <s v="Sufficient"/>
    <n v="1739238"/>
    <n v="1954.2"/>
  </r>
  <r>
    <s v="P1061"/>
    <x v="6"/>
    <n v="17"/>
    <n v="28"/>
    <x v="0"/>
    <n v="25815"/>
    <s v="Low Stock"/>
    <n v="438855"/>
    <n v="5163"/>
  </r>
  <r>
    <s v="P1062"/>
    <x v="0"/>
    <n v="30"/>
    <n v="27"/>
    <x v="0"/>
    <n v="19224"/>
    <s v="Sufficient"/>
    <n v="576720"/>
    <n v="3844.8"/>
  </r>
  <r>
    <s v="P1063"/>
    <x v="0"/>
    <n v="152"/>
    <n v="28"/>
    <x v="1"/>
    <n v="76189"/>
    <s v="Sufficient"/>
    <n v="11580728"/>
    <n v="15237.800000000001"/>
  </r>
  <r>
    <s v="P1064"/>
    <x v="1"/>
    <n v="191"/>
    <n v="36"/>
    <x v="1"/>
    <n v="43869"/>
    <s v="Sufficient"/>
    <n v="8378979"/>
    <n v="8773.8000000000011"/>
  </r>
  <r>
    <s v="P1065"/>
    <x v="5"/>
    <n v="59"/>
    <n v="45"/>
    <x v="0"/>
    <n v="23921"/>
    <s v="Sufficient"/>
    <n v="1411339"/>
    <n v="4784.2"/>
  </r>
  <r>
    <s v="P1066"/>
    <x v="4"/>
    <n v="59"/>
    <n v="39"/>
    <x v="2"/>
    <n v="27099"/>
    <s v="Sufficient"/>
    <n v="1598841"/>
    <n v="5419.8"/>
  </r>
  <r>
    <s v="P1067"/>
    <x v="6"/>
    <n v="21"/>
    <n v="15"/>
    <x v="0"/>
    <n v="54130"/>
    <s v="Sufficient"/>
    <n v="1136730"/>
    <n v="10826"/>
  </r>
  <r>
    <s v="P1068"/>
    <x v="4"/>
    <n v="30"/>
    <n v="44"/>
    <x v="1"/>
    <n v="38266"/>
    <s v="Low Stock"/>
    <n v="1147980"/>
    <n v="7653.2000000000007"/>
  </r>
  <r>
    <s v="P1069"/>
    <x v="6"/>
    <n v="181"/>
    <n v="12"/>
    <x v="1"/>
    <n v="32873"/>
    <s v="Sufficient"/>
    <n v="5950013"/>
    <n v="6574.6"/>
  </r>
  <r>
    <s v="P1070"/>
    <x v="2"/>
    <n v="100"/>
    <n v="18"/>
    <x v="4"/>
    <n v="13295"/>
    <s v="Sufficient"/>
    <n v="1329500"/>
    <n v="2659"/>
  </r>
  <r>
    <s v="P1071"/>
    <x v="3"/>
    <n v="86"/>
    <n v="22"/>
    <x v="4"/>
    <n v="45413"/>
    <s v="Sufficient"/>
    <n v="3905518"/>
    <n v="9082.6"/>
  </r>
  <r>
    <s v="P1072"/>
    <x v="2"/>
    <n v="180"/>
    <n v="29"/>
    <x v="3"/>
    <n v="19393"/>
    <s v="Sufficient"/>
    <n v="3490740"/>
    <n v="3878.6000000000004"/>
  </r>
  <r>
    <s v="P1073"/>
    <x v="2"/>
    <n v="192"/>
    <n v="26"/>
    <x v="4"/>
    <n v="37968"/>
    <s v="Sufficient"/>
    <n v="7289856"/>
    <n v="7593.6"/>
  </r>
  <r>
    <s v="P1074"/>
    <x v="3"/>
    <n v="69"/>
    <n v="15"/>
    <x v="2"/>
    <n v="20869"/>
    <s v="Sufficient"/>
    <n v="1439961"/>
    <n v="4173.8"/>
  </r>
  <r>
    <s v="P1075"/>
    <x v="7"/>
    <n v="182"/>
    <n v="47"/>
    <x v="1"/>
    <n v="69955"/>
    <s v="Sufficient"/>
    <n v="12731810"/>
    <n v="13991"/>
  </r>
  <r>
    <s v="P1076"/>
    <x v="2"/>
    <n v="17"/>
    <n v="38"/>
    <x v="1"/>
    <n v="69328"/>
    <s v="Low Stock"/>
    <n v="1178576"/>
    <n v="13865.6"/>
  </r>
  <r>
    <s v="P1077"/>
    <x v="7"/>
    <n v="43"/>
    <n v="48"/>
    <x v="1"/>
    <n v="68190"/>
    <s v="Low Stock"/>
    <n v="2932170"/>
    <n v="13638"/>
  </r>
  <r>
    <s v="P1078"/>
    <x v="3"/>
    <n v="135"/>
    <n v="33"/>
    <x v="4"/>
    <n v="78679"/>
    <s v="Sufficient"/>
    <n v="10621665"/>
    <n v="15735.800000000001"/>
  </r>
  <r>
    <s v="P1079"/>
    <x v="0"/>
    <n v="132"/>
    <n v="41"/>
    <x v="3"/>
    <n v="63309"/>
    <s v="Sufficient"/>
    <n v="8356788"/>
    <n v="12661.800000000001"/>
  </r>
  <r>
    <s v="P1080"/>
    <x v="6"/>
    <n v="47"/>
    <n v="32"/>
    <x v="4"/>
    <n v="77228"/>
    <s v="Sufficient"/>
    <n v="3629716"/>
    <n v="15445.6"/>
  </r>
  <r>
    <s v="P1081"/>
    <x v="5"/>
    <n v="168"/>
    <n v="43"/>
    <x v="4"/>
    <n v="27791"/>
    <s v="Sufficient"/>
    <n v="4668888"/>
    <n v="5558.2000000000007"/>
  </r>
  <r>
    <s v="P1082"/>
    <x v="0"/>
    <n v="150"/>
    <n v="21"/>
    <x v="1"/>
    <n v="72006"/>
    <s v="Sufficient"/>
    <n v="10800900"/>
    <n v="14401.2"/>
  </r>
  <r>
    <s v="P1083"/>
    <x v="1"/>
    <n v="161"/>
    <n v="13"/>
    <x v="3"/>
    <n v="77723"/>
    <s v="Sufficient"/>
    <n v="12513403"/>
    <n v="15544.6"/>
  </r>
  <r>
    <s v="P1084"/>
    <x v="5"/>
    <n v="3"/>
    <n v="42"/>
    <x v="4"/>
    <n v="31253"/>
    <s v="Low Stock"/>
    <n v="93759"/>
    <n v="6250.6"/>
  </r>
  <r>
    <s v="P1085"/>
    <x v="2"/>
    <n v="44"/>
    <n v="28"/>
    <x v="1"/>
    <n v="26450"/>
    <s v="Sufficient"/>
    <n v="1163800"/>
    <n v="5290"/>
  </r>
  <r>
    <s v="P1086"/>
    <x v="0"/>
    <n v="191"/>
    <n v="22"/>
    <x v="1"/>
    <n v="11775"/>
    <s v="Sufficient"/>
    <n v="2249025"/>
    <n v="2355"/>
  </r>
  <r>
    <s v="P1087"/>
    <x v="4"/>
    <n v="72"/>
    <n v="34"/>
    <x v="1"/>
    <n v="18972"/>
    <s v="Sufficient"/>
    <n v="1365984"/>
    <n v="3794.4"/>
  </r>
  <r>
    <s v="P1088"/>
    <x v="0"/>
    <n v="106"/>
    <n v="13"/>
    <x v="3"/>
    <n v="47761"/>
    <s v="Sufficient"/>
    <n v="5062666"/>
    <n v="9552.2000000000007"/>
  </r>
  <r>
    <s v="P1089"/>
    <x v="3"/>
    <n v="102"/>
    <n v="11"/>
    <x v="3"/>
    <n v="45885"/>
    <s v="Sufficient"/>
    <n v="4680270"/>
    <n v="9177"/>
  </r>
  <r>
    <s v="P1090"/>
    <x v="6"/>
    <n v="68"/>
    <n v="46"/>
    <x v="4"/>
    <n v="54971"/>
    <s v="Sufficient"/>
    <n v="3738028"/>
    <n v="10994.2"/>
  </r>
  <r>
    <s v="P1091"/>
    <x v="5"/>
    <n v="163"/>
    <n v="34"/>
    <x v="3"/>
    <n v="54252"/>
    <s v="Sufficient"/>
    <n v="8843076"/>
    <n v="10850.400000000001"/>
  </r>
  <r>
    <s v="P1092"/>
    <x v="6"/>
    <n v="52"/>
    <n v="50"/>
    <x v="2"/>
    <n v="68009"/>
    <s v="Sufficient"/>
    <n v="3536468"/>
    <n v="13601.800000000001"/>
  </r>
  <r>
    <s v="P1093"/>
    <x v="7"/>
    <n v="66"/>
    <n v="21"/>
    <x v="0"/>
    <n v="38349"/>
    <s v="Sufficient"/>
    <n v="2531034"/>
    <n v="7669.8"/>
  </r>
  <r>
    <s v="P1094"/>
    <x v="3"/>
    <n v="84"/>
    <n v="21"/>
    <x v="1"/>
    <n v="2370"/>
    <s v="Sufficient"/>
    <n v="199080"/>
    <n v="474"/>
  </r>
  <r>
    <s v="P1095"/>
    <x v="2"/>
    <n v="166"/>
    <n v="44"/>
    <x v="3"/>
    <n v="50609"/>
    <s v="Sufficient"/>
    <n v="8401094"/>
    <n v="10121.800000000001"/>
  </r>
  <r>
    <s v="P1096"/>
    <x v="1"/>
    <n v="163"/>
    <n v="16"/>
    <x v="2"/>
    <n v="62764"/>
    <s v="Sufficient"/>
    <n v="10230532"/>
    <n v="12552.800000000001"/>
  </r>
  <r>
    <s v="P1097"/>
    <x v="6"/>
    <n v="184"/>
    <n v="25"/>
    <x v="1"/>
    <n v="77668"/>
    <s v="Sufficient"/>
    <n v="14290912"/>
    <n v="15533.6"/>
  </r>
  <r>
    <s v="P1098"/>
    <x v="0"/>
    <n v="88"/>
    <n v="48"/>
    <x v="3"/>
    <n v="12752"/>
    <s v="Sufficient"/>
    <n v="1122176"/>
    <n v="2550.4"/>
  </r>
  <r>
    <s v="P1099"/>
    <x v="0"/>
    <n v="37"/>
    <n v="46"/>
    <x v="1"/>
    <n v="30927"/>
    <s v="Low Stock"/>
    <n v="1144299"/>
    <n v="6185.4000000000005"/>
  </r>
  <r>
    <s v="P1100"/>
    <x v="6"/>
    <n v="7"/>
    <n v="18"/>
    <x v="2"/>
    <n v="34777"/>
    <s v="Low Stock"/>
    <n v="243439"/>
    <n v="6955.4000000000005"/>
  </r>
  <r>
    <s v="P1101"/>
    <x v="5"/>
    <n v="140"/>
    <n v="43"/>
    <x v="1"/>
    <n v="41741"/>
    <s v="Sufficient"/>
    <n v="5843740"/>
    <n v="8348.2000000000007"/>
  </r>
  <r>
    <s v="P1102"/>
    <x v="4"/>
    <n v="111"/>
    <n v="50"/>
    <x v="4"/>
    <n v="29170"/>
    <s v="Sufficient"/>
    <n v="3237870"/>
    <n v="5834"/>
  </r>
  <r>
    <s v="P1103"/>
    <x v="4"/>
    <n v="196"/>
    <n v="45"/>
    <x v="4"/>
    <n v="29893"/>
    <s v="Sufficient"/>
    <n v="5859028"/>
    <n v="5978.6"/>
  </r>
  <r>
    <s v="P1104"/>
    <x v="3"/>
    <n v="139"/>
    <n v="26"/>
    <x v="2"/>
    <n v="14608"/>
    <s v="Sufficient"/>
    <n v="2030512"/>
    <n v="2921.6000000000004"/>
  </r>
  <r>
    <s v="P1105"/>
    <x v="6"/>
    <n v="102"/>
    <n v="29"/>
    <x v="3"/>
    <n v="59996"/>
    <s v="Sufficient"/>
    <n v="6119592"/>
    <n v="11999.2"/>
  </r>
  <r>
    <s v="P1106"/>
    <x v="1"/>
    <n v="154"/>
    <n v="34"/>
    <x v="1"/>
    <n v="66500"/>
    <s v="Sufficient"/>
    <n v="10241000"/>
    <n v="13300"/>
  </r>
  <r>
    <s v="P1107"/>
    <x v="1"/>
    <n v="24"/>
    <n v="34"/>
    <x v="0"/>
    <n v="38169"/>
    <s v="Low Stock"/>
    <n v="916056"/>
    <n v="7633.8"/>
  </r>
  <r>
    <s v="P1108"/>
    <x v="6"/>
    <n v="42"/>
    <n v="22"/>
    <x v="1"/>
    <n v="12112"/>
    <s v="Sufficient"/>
    <n v="508704"/>
    <n v="2422.4"/>
  </r>
  <r>
    <s v="P1109"/>
    <x v="4"/>
    <n v="38"/>
    <n v="25"/>
    <x v="2"/>
    <n v="41901"/>
    <s v="Sufficient"/>
    <n v="1592238"/>
    <n v="8380.2000000000007"/>
  </r>
  <r>
    <s v="P1110"/>
    <x v="2"/>
    <n v="150"/>
    <n v="35"/>
    <x v="4"/>
    <n v="49748"/>
    <s v="Sufficient"/>
    <n v="7462200"/>
    <n v="9949.6"/>
  </r>
  <r>
    <s v="P1111"/>
    <x v="1"/>
    <n v="54"/>
    <n v="36"/>
    <x v="0"/>
    <n v="39003"/>
    <s v="Sufficient"/>
    <n v="2106162"/>
    <n v="7800.6"/>
  </r>
  <r>
    <s v="P1112"/>
    <x v="4"/>
    <n v="53"/>
    <n v="16"/>
    <x v="0"/>
    <n v="52666"/>
    <s v="Sufficient"/>
    <n v="2791298"/>
    <n v="10533.2"/>
  </r>
  <r>
    <s v="P1113"/>
    <x v="7"/>
    <n v="4"/>
    <n v="27"/>
    <x v="0"/>
    <n v="20448"/>
    <s v="Low Stock"/>
    <n v="81792"/>
    <n v="4089.6000000000004"/>
  </r>
  <r>
    <s v="P1114"/>
    <x v="4"/>
    <n v="24"/>
    <n v="20"/>
    <x v="4"/>
    <n v="79569"/>
    <s v="Sufficient"/>
    <n v="1909656"/>
    <n v="15913.800000000001"/>
  </r>
  <r>
    <s v="P1115"/>
    <x v="5"/>
    <n v="148"/>
    <n v="39"/>
    <x v="2"/>
    <n v="56190"/>
    <s v="Sufficient"/>
    <n v="8316120"/>
    <n v="11238"/>
  </r>
  <r>
    <s v="P1116"/>
    <x v="2"/>
    <n v="166"/>
    <n v="41"/>
    <x v="0"/>
    <n v="36912"/>
    <s v="Sufficient"/>
    <n v="6127392"/>
    <n v="7382.4000000000005"/>
  </r>
  <r>
    <s v="P1117"/>
    <x v="4"/>
    <n v="133"/>
    <n v="10"/>
    <x v="0"/>
    <n v="55371"/>
    <s v="Sufficient"/>
    <n v="7364343"/>
    <n v="11074.2"/>
  </r>
  <r>
    <s v="P1118"/>
    <x v="2"/>
    <n v="31"/>
    <n v="36"/>
    <x v="3"/>
    <n v="46407"/>
    <s v="Low Stock"/>
    <n v="1438617"/>
    <n v="9281.4"/>
  </r>
  <r>
    <s v="P1119"/>
    <x v="1"/>
    <n v="32"/>
    <n v="33"/>
    <x v="1"/>
    <n v="73708"/>
    <s v="Low Stock"/>
    <n v="2358656"/>
    <n v="14741.6"/>
  </r>
  <r>
    <s v="P1120"/>
    <x v="1"/>
    <n v="102"/>
    <n v="16"/>
    <x v="0"/>
    <n v="45496"/>
    <s v="Sufficient"/>
    <n v="4640592"/>
    <n v="9099.2000000000007"/>
  </r>
  <r>
    <s v="P1121"/>
    <x v="1"/>
    <n v="99"/>
    <n v="34"/>
    <x v="0"/>
    <n v="65889"/>
    <s v="Sufficient"/>
    <n v="6523011"/>
    <n v="13177.800000000001"/>
  </r>
  <r>
    <s v="P1122"/>
    <x v="7"/>
    <n v="63"/>
    <n v="12"/>
    <x v="0"/>
    <n v="55580"/>
    <s v="Sufficient"/>
    <n v="3501540"/>
    <n v="11116"/>
  </r>
  <r>
    <s v="P1123"/>
    <x v="7"/>
    <n v="122"/>
    <n v="10"/>
    <x v="3"/>
    <n v="21394"/>
    <s v="Sufficient"/>
    <n v="2610068"/>
    <n v="4278.8"/>
  </r>
  <r>
    <s v="P1124"/>
    <x v="6"/>
    <n v="17"/>
    <n v="37"/>
    <x v="1"/>
    <n v="74718"/>
    <s v="Low Stock"/>
    <n v="1270206"/>
    <n v="14943.6"/>
  </r>
  <r>
    <s v="P1125"/>
    <x v="5"/>
    <n v="197"/>
    <n v="13"/>
    <x v="3"/>
    <n v="38020"/>
    <s v="Sufficient"/>
    <n v="7489940"/>
    <n v="7604"/>
  </r>
  <r>
    <s v="P1126"/>
    <x v="3"/>
    <n v="91"/>
    <n v="42"/>
    <x v="2"/>
    <n v="33759"/>
    <s v="Sufficient"/>
    <n v="3072069"/>
    <n v="6751.8"/>
  </r>
  <r>
    <s v="P1127"/>
    <x v="2"/>
    <n v="110"/>
    <n v="48"/>
    <x v="1"/>
    <n v="71533"/>
    <s v="Sufficient"/>
    <n v="7868630"/>
    <n v="14306.6"/>
  </r>
  <r>
    <s v="P1128"/>
    <x v="5"/>
    <n v="153"/>
    <n v="42"/>
    <x v="1"/>
    <n v="78255"/>
    <s v="Sufficient"/>
    <n v="11973015"/>
    <n v="15651"/>
  </r>
  <r>
    <s v="P1129"/>
    <x v="1"/>
    <n v="37"/>
    <n v="48"/>
    <x v="0"/>
    <n v="70557"/>
    <s v="Low Stock"/>
    <n v="2610609"/>
    <n v="14111.400000000001"/>
  </r>
  <r>
    <s v="P1130"/>
    <x v="5"/>
    <n v="34"/>
    <n v="25"/>
    <x v="3"/>
    <n v="57031"/>
    <s v="Sufficient"/>
    <n v="1939054"/>
    <n v="11406.2"/>
  </r>
  <r>
    <s v="P1131"/>
    <x v="1"/>
    <n v="42"/>
    <n v="32"/>
    <x v="2"/>
    <n v="42696"/>
    <s v="Sufficient"/>
    <n v="1793232"/>
    <n v="8539.2000000000007"/>
  </r>
  <r>
    <s v="P1132"/>
    <x v="6"/>
    <n v="120"/>
    <n v="43"/>
    <x v="2"/>
    <n v="42497"/>
    <s v="Sufficient"/>
    <n v="5099640"/>
    <n v="8499.4"/>
  </r>
  <r>
    <s v="P1133"/>
    <x v="5"/>
    <n v="40"/>
    <n v="10"/>
    <x v="2"/>
    <n v="46699"/>
    <s v="Sufficient"/>
    <n v="1867960"/>
    <n v="9339.8000000000011"/>
  </r>
  <r>
    <s v="P1134"/>
    <x v="6"/>
    <n v="191"/>
    <n v="41"/>
    <x v="4"/>
    <n v="62870"/>
    <s v="Sufficient"/>
    <n v="12008170"/>
    <n v="12574"/>
  </r>
  <r>
    <s v="P1135"/>
    <x v="3"/>
    <n v="16"/>
    <n v="11"/>
    <x v="1"/>
    <n v="23507"/>
    <s v="Sufficient"/>
    <n v="376112"/>
    <n v="4701.4000000000005"/>
  </r>
  <r>
    <s v="P1136"/>
    <x v="4"/>
    <n v="110"/>
    <n v="44"/>
    <x v="4"/>
    <n v="57600"/>
    <s v="Sufficient"/>
    <n v="6336000"/>
    <n v="11520"/>
  </r>
  <r>
    <s v="P1137"/>
    <x v="7"/>
    <n v="147"/>
    <n v="23"/>
    <x v="2"/>
    <n v="50607"/>
    <s v="Sufficient"/>
    <n v="7439229"/>
    <n v="10121.400000000001"/>
  </r>
  <r>
    <s v="P1138"/>
    <x v="2"/>
    <n v="116"/>
    <n v="30"/>
    <x v="1"/>
    <n v="49738"/>
    <s v="Sufficient"/>
    <n v="5769608"/>
    <n v="9947.6"/>
  </r>
  <r>
    <s v="P1139"/>
    <x v="1"/>
    <n v="10"/>
    <n v="37"/>
    <x v="4"/>
    <n v="34279"/>
    <s v="Low Stock"/>
    <n v="342790"/>
    <n v="6855.8"/>
  </r>
  <r>
    <s v="P1140"/>
    <x v="0"/>
    <n v="121"/>
    <n v="32"/>
    <x v="0"/>
    <n v="17421"/>
    <s v="Sufficient"/>
    <n v="2107941"/>
    <n v="3484.2000000000003"/>
  </r>
  <r>
    <s v="P1141"/>
    <x v="1"/>
    <n v="141"/>
    <n v="40"/>
    <x v="4"/>
    <n v="47867"/>
    <s v="Sufficient"/>
    <n v="6749247"/>
    <n v="9573.4"/>
  </r>
  <r>
    <s v="P1142"/>
    <x v="3"/>
    <n v="179"/>
    <n v="37"/>
    <x v="0"/>
    <n v="21964"/>
    <s v="Sufficient"/>
    <n v="3931556"/>
    <n v="4392.8"/>
  </r>
  <r>
    <s v="P1143"/>
    <x v="7"/>
    <n v="120"/>
    <n v="14"/>
    <x v="0"/>
    <n v="70560"/>
    <s v="Sufficient"/>
    <n v="8467200"/>
    <n v="14112"/>
  </r>
  <r>
    <s v="P1144"/>
    <x v="6"/>
    <n v="134"/>
    <n v="18"/>
    <x v="0"/>
    <n v="19096"/>
    <s v="Sufficient"/>
    <n v="2558864"/>
    <n v="3819.2000000000003"/>
  </r>
  <r>
    <s v="P1145"/>
    <x v="0"/>
    <n v="200"/>
    <n v="32"/>
    <x v="0"/>
    <n v="72138"/>
    <s v="Sufficient"/>
    <n v="14427600"/>
    <n v="14427.6"/>
  </r>
  <r>
    <s v="P1146"/>
    <x v="3"/>
    <n v="79"/>
    <n v="20"/>
    <x v="1"/>
    <n v="968"/>
    <s v="Sufficient"/>
    <n v="76472"/>
    <n v="193.60000000000002"/>
  </r>
  <r>
    <s v="P1147"/>
    <x v="1"/>
    <n v="24"/>
    <n v="13"/>
    <x v="4"/>
    <n v="48637"/>
    <s v="Sufficient"/>
    <n v="1167288"/>
    <n v="9727.4"/>
  </r>
  <r>
    <s v="P1148"/>
    <x v="6"/>
    <n v="109"/>
    <n v="28"/>
    <x v="1"/>
    <n v="37914"/>
    <s v="Sufficient"/>
    <n v="4132626"/>
    <n v="7582.8"/>
  </r>
  <r>
    <s v="P1149"/>
    <x v="6"/>
    <n v="186"/>
    <n v="40"/>
    <x v="3"/>
    <n v="21895"/>
    <s v="Sufficient"/>
    <n v="4072470"/>
    <n v="4379"/>
  </r>
  <r>
    <s v="P1150"/>
    <x v="3"/>
    <n v="97"/>
    <n v="42"/>
    <x v="4"/>
    <n v="51621"/>
    <s v="Sufficient"/>
    <n v="5007237"/>
    <n v="10324.200000000001"/>
  </r>
  <r>
    <s v="P1151"/>
    <x v="3"/>
    <n v="118"/>
    <n v="17"/>
    <x v="4"/>
    <n v="70653"/>
    <s v="Sufficient"/>
    <n v="8337054"/>
    <n v="14130.6"/>
  </r>
  <r>
    <s v="P1152"/>
    <x v="1"/>
    <n v="59"/>
    <n v="23"/>
    <x v="4"/>
    <n v="65145"/>
    <s v="Sufficient"/>
    <n v="3843555"/>
    <n v="13029"/>
  </r>
  <r>
    <s v="P1153"/>
    <x v="3"/>
    <n v="158"/>
    <n v="13"/>
    <x v="4"/>
    <n v="57180"/>
    <s v="Sufficient"/>
    <n v="9034440"/>
    <n v="11436"/>
  </r>
  <r>
    <s v="P1154"/>
    <x v="3"/>
    <n v="162"/>
    <n v="27"/>
    <x v="3"/>
    <n v="7757"/>
    <s v="Sufficient"/>
    <n v="1256634"/>
    <n v="1551.4"/>
  </r>
  <r>
    <s v="P1155"/>
    <x v="5"/>
    <n v="38"/>
    <n v="50"/>
    <x v="4"/>
    <n v="67311"/>
    <s v="Low Stock"/>
    <n v="2557818"/>
    <n v="13462.2"/>
  </r>
  <r>
    <s v="P1156"/>
    <x v="1"/>
    <n v="91"/>
    <n v="22"/>
    <x v="0"/>
    <n v="57354"/>
    <s v="Sufficient"/>
    <n v="5219214"/>
    <n v="11470.800000000001"/>
  </r>
  <r>
    <s v="P1157"/>
    <x v="2"/>
    <n v="77"/>
    <n v="29"/>
    <x v="1"/>
    <n v="18023"/>
    <s v="Sufficient"/>
    <n v="1387771"/>
    <n v="3604.6000000000004"/>
  </r>
  <r>
    <s v="P1158"/>
    <x v="0"/>
    <n v="37"/>
    <n v="17"/>
    <x v="2"/>
    <n v="51079"/>
    <s v="Sufficient"/>
    <n v="1889923"/>
    <n v="10215.800000000001"/>
  </r>
  <r>
    <s v="P1159"/>
    <x v="2"/>
    <n v="117"/>
    <n v="37"/>
    <x v="1"/>
    <n v="28237"/>
    <s v="Sufficient"/>
    <n v="3303729"/>
    <n v="5647.4000000000005"/>
  </r>
  <r>
    <s v="P1160"/>
    <x v="1"/>
    <n v="14"/>
    <n v="21"/>
    <x v="3"/>
    <n v="60976"/>
    <s v="Low Stock"/>
    <n v="853664"/>
    <n v="12195.2"/>
  </r>
  <r>
    <s v="P1161"/>
    <x v="3"/>
    <n v="52"/>
    <n v="45"/>
    <x v="0"/>
    <n v="16139"/>
    <s v="Sufficient"/>
    <n v="839228"/>
    <n v="3227.8"/>
  </r>
  <r>
    <s v="P1162"/>
    <x v="7"/>
    <n v="182"/>
    <n v="12"/>
    <x v="3"/>
    <n v="38605"/>
    <s v="Sufficient"/>
    <n v="7026110"/>
    <n v="7721"/>
  </r>
  <r>
    <s v="P1163"/>
    <x v="6"/>
    <n v="190"/>
    <n v="41"/>
    <x v="4"/>
    <n v="71767"/>
    <s v="Sufficient"/>
    <n v="13635730"/>
    <n v="14353.400000000001"/>
  </r>
  <r>
    <s v="P1164"/>
    <x v="4"/>
    <n v="189"/>
    <n v="34"/>
    <x v="2"/>
    <n v="70149"/>
    <s v="Sufficient"/>
    <n v="13258161"/>
    <n v="14029.800000000001"/>
  </r>
  <r>
    <s v="P1165"/>
    <x v="1"/>
    <n v="192"/>
    <n v="10"/>
    <x v="1"/>
    <n v="3907"/>
    <s v="Sufficient"/>
    <n v="750144"/>
    <n v="781.40000000000009"/>
  </r>
  <r>
    <s v="P1166"/>
    <x v="7"/>
    <n v="47"/>
    <n v="50"/>
    <x v="3"/>
    <n v="61373"/>
    <s v="Low Stock"/>
    <n v="2884531"/>
    <n v="12274.6"/>
  </r>
  <r>
    <s v="P1167"/>
    <x v="4"/>
    <n v="24"/>
    <n v="21"/>
    <x v="2"/>
    <n v="53356"/>
    <s v="Sufficient"/>
    <n v="1280544"/>
    <n v="10671.2"/>
  </r>
  <r>
    <s v="P1168"/>
    <x v="1"/>
    <n v="167"/>
    <n v="45"/>
    <x v="3"/>
    <n v="17911"/>
    <s v="Sufficient"/>
    <n v="2991137"/>
    <n v="3582.2000000000003"/>
  </r>
  <r>
    <s v="P1169"/>
    <x v="2"/>
    <n v="78"/>
    <n v="24"/>
    <x v="0"/>
    <n v="15851"/>
    <s v="Sufficient"/>
    <n v="1236378"/>
    <n v="3170.2000000000003"/>
  </r>
  <r>
    <s v="P1170"/>
    <x v="4"/>
    <n v="20"/>
    <n v="34"/>
    <x v="0"/>
    <n v="21004"/>
    <s v="Low Stock"/>
    <n v="420080"/>
    <n v="4200.8"/>
  </r>
  <r>
    <s v="P1171"/>
    <x v="0"/>
    <n v="169"/>
    <n v="44"/>
    <x v="2"/>
    <n v="67856"/>
    <s v="Sufficient"/>
    <n v="11467664"/>
    <n v="13571.2"/>
  </r>
  <r>
    <s v="P1172"/>
    <x v="4"/>
    <n v="148"/>
    <n v="10"/>
    <x v="1"/>
    <n v="4624"/>
    <s v="Sufficient"/>
    <n v="684352"/>
    <n v="924.80000000000007"/>
  </r>
  <r>
    <s v="P1173"/>
    <x v="2"/>
    <n v="102"/>
    <n v="22"/>
    <x v="3"/>
    <n v="3877"/>
    <s v="Sufficient"/>
    <n v="395454"/>
    <n v="775.40000000000009"/>
  </r>
  <r>
    <s v="P1174"/>
    <x v="7"/>
    <n v="17"/>
    <n v="28"/>
    <x v="2"/>
    <n v="53572"/>
    <s v="Low Stock"/>
    <n v="910724"/>
    <n v="10714.400000000001"/>
  </r>
  <r>
    <s v="P1175"/>
    <x v="0"/>
    <n v="8"/>
    <n v="48"/>
    <x v="4"/>
    <n v="72539"/>
    <s v="Low Stock"/>
    <n v="580312"/>
    <n v="14507.800000000001"/>
  </r>
  <r>
    <s v="P1176"/>
    <x v="0"/>
    <n v="164"/>
    <n v="22"/>
    <x v="3"/>
    <n v="36120"/>
    <s v="Sufficient"/>
    <n v="5923680"/>
    <n v="7224"/>
  </r>
  <r>
    <s v="P1177"/>
    <x v="6"/>
    <n v="135"/>
    <n v="21"/>
    <x v="4"/>
    <n v="35014"/>
    <s v="Sufficient"/>
    <n v="4726890"/>
    <n v="7002.8"/>
  </r>
  <r>
    <s v="P1178"/>
    <x v="1"/>
    <n v="60"/>
    <n v="37"/>
    <x v="1"/>
    <n v="40062"/>
    <s v="Sufficient"/>
    <n v="2403720"/>
    <n v="8012.4000000000005"/>
  </r>
  <r>
    <s v="P1179"/>
    <x v="5"/>
    <n v="91"/>
    <n v="12"/>
    <x v="3"/>
    <n v="50471"/>
    <s v="Sufficient"/>
    <n v="4592861"/>
    <n v="10094.200000000001"/>
  </r>
  <r>
    <s v="P1180"/>
    <x v="6"/>
    <n v="185"/>
    <n v="20"/>
    <x v="0"/>
    <n v="29133"/>
    <s v="Sufficient"/>
    <n v="5389605"/>
    <n v="5826.6"/>
  </r>
  <r>
    <s v="P1181"/>
    <x v="3"/>
    <n v="171"/>
    <n v="18"/>
    <x v="1"/>
    <n v="41531"/>
    <s v="Sufficient"/>
    <n v="7101801"/>
    <n v="8306.2000000000007"/>
  </r>
  <r>
    <s v="P1182"/>
    <x v="4"/>
    <n v="97"/>
    <n v="13"/>
    <x v="0"/>
    <n v="35125"/>
    <s v="Sufficient"/>
    <n v="3407125"/>
    <n v="7025"/>
  </r>
  <r>
    <s v="P1183"/>
    <x v="3"/>
    <n v="67"/>
    <n v="11"/>
    <x v="4"/>
    <n v="57601"/>
    <s v="Sufficient"/>
    <n v="3859267"/>
    <n v="11520.2"/>
  </r>
  <r>
    <s v="P1184"/>
    <x v="2"/>
    <n v="80"/>
    <n v="24"/>
    <x v="4"/>
    <n v="10258"/>
    <s v="Sufficient"/>
    <n v="820640"/>
    <n v="2051.6"/>
  </r>
  <r>
    <s v="P1185"/>
    <x v="1"/>
    <n v="26"/>
    <n v="47"/>
    <x v="3"/>
    <n v="32768"/>
    <s v="Low Stock"/>
    <n v="851968"/>
    <n v="6553.6"/>
  </r>
  <r>
    <s v="P1186"/>
    <x v="3"/>
    <n v="156"/>
    <n v="42"/>
    <x v="1"/>
    <n v="18691"/>
    <s v="Sufficient"/>
    <n v="2915796"/>
    <n v="3738.2000000000003"/>
  </r>
  <r>
    <s v="P1187"/>
    <x v="1"/>
    <n v="44"/>
    <n v="18"/>
    <x v="1"/>
    <n v="42263"/>
    <s v="Sufficient"/>
    <n v="1859572"/>
    <n v="8452.6"/>
  </r>
  <r>
    <s v="P1188"/>
    <x v="0"/>
    <n v="178"/>
    <n v="50"/>
    <x v="1"/>
    <n v="43778"/>
    <s v="Sufficient"/>
    <n v="7792484"/>
    <n v="8755.6"/>
  </r>
  <r>
    <s v="P1189"/>
    <x v="1"/>
    <n v="165"/>
    <n v="46"/>
    <x v="3"/>
    <n v="54767"/>
    <s v="Sufficient"/>
    <n v="9036555"/>
    <n v="10953.400000000001"/>
  </r>
  <r>
    <s v="P1190"/>
    <x v="7"/>
    <n v="102"/>
    <n v="15"/>
    <x v="4"/>
    <n v="18635"/>
    <s v="Sufficient"/>
    <n v="1900770"/>
    <n v="3727"/>
  </r>
  <r>
    <s v="P1191"/>
    <x v="1"/>
    <n v="75"/>
    <n v="30"/>
    <x v="4"/>
    <n v="59223"/>
    <s v="Sufficient"/>
    <n v="4441725"/>
    <n v="11844.6"/>
  </r>
  <r>
    <s v="P1192"/>
    <x v="5"/>
    <n v="174"/>
    <n v="45"/>
    <x v="4"/>
    <n v="22705"/>
    <s v="Sufficient"/>
    <n v="3950670"/>
    <n v="4541"/>
  </r>
  <r>
    <s v="P1193"/>
    <x v="3"/>
    <n v="6"/>
    <n v="38"/>
    <x v="4"/>
    <n v="40094"/>
    <s v="Low Stock"/>
    <n v="240564"/>
    <n v="8018.8"/>
  </r>
  <r>
    <s v="P1194"/>
    <x v="2"/>
    <n v="120"/>
    <n v="50"/>
    <x v="0"/>
    <n v="64048"/>
    <s v="Sufficient"/>
    <n v="7685760"/>
    <n v="12809.6"/>
  </r>
  <r>
    <s v="P1195"/>
    <x v="1"/>
    <n v="175"/>
    <n v="50"/>
    <x v="1"/>
    <n v="22924"/>
    <s v="Sufficient"/>
    <n v="4011700"/>
    <n v="4584.8"/>
  </r>
  <r>
    <s v="P1196"/>
    <x v="0"/>
    <n v="37"/>
    <n v="19"/>
    <x v="2"/>
    <n v="57495"/>
    <s v="Sufficient"/>
    <n v="2127315"/>
    <n v="11499"/>
  </r>
  <r>
    <s v="P1197"/>
    <x v="6"/>
    <n v="167"/>
    <n v="16"/>
    <x v="0"/>
    <n v="10633"/>
    <s v="Sufficient"/>
    <n v="1775711"/>
    <n v="2126.6"/>
  </r>
  <r>
    <s v="P1198"/>
    <x v="2"/>
    <n v="121"/>
    <n v="14"/>
    <x v="3"/>
    <n v="14585"/>
    <s v="Sufficient"/>
    <n v="1764785"/>
    <n v="2917"/>
  </r>
  <r>
    <s v="P1199"/>
    <x v="0"/>
    <n v="73"/>
    <n v="24"/>
    <x v="2"/>
    <n v="66876"/>
    <s v="Sufficient"/>
    <n v="4881948"/>
    <n v="13375.2"/>
  </r>
  <r>
    <s v="P1200"/>
    <x v="5"/>
    <n v="80"/>
    <n v="25"/>
    <x v="2"/>
    <n v="18723"/>
    <s v="Sufficient"/>
    <n v="1497840"/>
    <n v="3744.6000000000004"/>
  </r>
  <r>
    <s v="P1201"/>
    <x v="1"/>
    <n v="46"/>
    <n v="12"/>
    <x v="0"/>
    <n v="47961"/>
    <s v="Sufficient"/>
    <n v="2206206"/>
    <n v="9592.2000000000007"/>
  </r>
  <r>
    <s v="P1202"/>
    <x v="6"/>
    <n v="18"/>
    <n v="50"/>
    <x v="4"/>
    <n v="27913"/>
    <s v="Low Stock"/>
    <n v="502434"/>
    <n v="5582.6"/>
  </r>
  <r>
    <s v="P1203"/>
    <x v="4"/>
    <n v="197"/>
    <n v="28"/>
    <x v="0"/>
    <n v="35185"/>
    <s v="Sufficient"/>
    <n v="6931445"/>
    <n v="7037"/>
  </r>
  <r>
    <s v="P1204"/>
    <x v="6"/>
    <n v="104"/>
    <n v="47"/>
    <x v="2"/>
    <n v="78469"/>
    <s v="Sufficient"/>
    <n v="8160776"/>
    <n v="15693.800000000001"/>
  </r>
  <r>
    <s v="P1205"/>
    <x v="0"/>
    <n v="6"/>
    <n v="49"/>
    <x v="1"/>
    <n v="4973"/>
    <s v="Low Stock"/>
    <n v="29838"/>
    <n v="994.6"/>
  </r>
  <r>
    <s v="P1206"/>
    <x v="1"/>
    <n v="86"/>
    <n v="45"/>
    <x v="4"/>
    <n v="30282"/>
    <s v="Sufficient"/>
    <n v="2604252"/>
    <n v="6056.4000000000005"/>
  </r>
  <r>
    <s v="P1207"/>
    <x v="6"/>
    <n v="93"/>
    <n v="50"/>
    <x v="0"/>
    <n v="29935"/>
    <s v="Sufficient"/>
    <n v="2783955"/>
    <n v="5987"/>
  </r>
  <r>
    <s v="P1208"/>
    <x v="1"/>
    <n v="94"/>
    <n v="46"/>
    <x v="4"/>
    <n v="18179"/>
    <s v="Sufficient"/>
    <n v="1708826"/>
    <n v="3635.8"/>
  </r>
  <r>
    <s v="P1209"/>
    <x v="2"/>
    <n v="168"/>
    <n v="41"/>
    <x v="3"/>
    <n v="12461"/>
    <s v="Sufficient"/>
    <n v="2093448"/>
    <n v="2492.2000000000003"/>
  </r>
  <r>
    <s v="P1210"/>
    <x v="6"/>
    <n v="12"/>
    <n v="31"/>
    <x v="2"/>
    <n v="30061"/>
    <s v="Low Stock"/>
    <n v="360732"/>
    <n v="6012.2000000000007"/>
  </r>
  <r>
    <s v="P1211"/>
    <x v="6"/>
    <n v="184"/>
    <n v="42"/>
    <x v="4"/>
    <n v="42952"/>
    <s v="Sufficient"/>
    <n v="7903168"/>
    <n v="8590.4"/>
  </r>
  <r>
    <s v="P1212"/>
    <x v="2"/>
    <n v="103"/>
    <n v="45"/>
    <x v="1"/>
    <n v="64446"/>
    <s v="Sufficient"/>
    <n v="6637938"/>
    <n v="12889.2"/>
  </r>
  <r>
    <s v="P1213"/>
    <x v="4"/>
    <n v="31"/>
    <n v="40"/>
    <x v="1"/>
    <n v="68396"/>
    <s v="Low Stock"/>
    <n v="2120276"/>
    <n v="13679.2"/>
  </r>
  <r>
    <s v="P1214"/>
    <x v="0"/>
    <n v="147"/>
    <n v="24"/>
    <x v="0"/>
    <n v="53298"/>
    <s v="Sufficient"/>
    <n v="7834806"/>
    <n v="10659.6"/>
  </r>
  <r>
    <s v="P1215"/>
    <x v="1"/>
    <n v="92"/>
    <n v="46"/>
    <x v="3"/>
    <n v="45138"/>
    <s v="Sufficient"/>
    <n v="4152696"/>
    <n v="9027.6"/>
  </r>
  <r>
    <s v="P1216"/>
    <x v="2"/>
    <n v="50"/>
    <n v="22"/>
    <x v="3"/>
    <n v="79505"/>
    <s v="Sufficient"/>
    <n v="3975250"/>
    <n v="15901"/>
  </r>
  <r>
    <s v="P1217"/>
    <x v="7"/>
    <n v="200"/>
    <n v="27"/>
    <x v="1"/>
    <n v="42792"/>
    <s v="Sufficient"/>
    <n v="8558400"/>
    <n v="8558.4"/>
  </r>
  <r>
    <s v="P1218"/>
    <x v="4"/>
    <n v="20"/>
    <n v="19"/>
    <x v="2"/>
    <n v="21637"/>
    <s v="Sufficient"/>
    <n v="432740"/>
    <n v="4327.4000000000005"/>
  </r>
  <r>
    <s v="P1219"/>
    <x v="5"/>
    <n v="159"/>
    <n v="15"/>
    <x v="0"/>
    <n v="53267"/>
    <s v="Sufficient"/>
    <n v="8469453"/>
    <n v="10653.400000000001"/>
  </r>
  <r>
    <s v="P1220"/>
    <x v="0"/>
    <n v="53"/>
    <n v="26"/>
    <x v="1"/>
    <n v="6302"/>
    <s v="Sufficient"/>
    <n v="334006"/>
    <n v="1260.4000000000001"/>
  </r>
  <r>
    <s v="P1221"/>
    <x v="4"/>
    <n v="172"/>
    <n v="49"/>
    <x v="0"/>
    <n v="66855"/>
    <s v="Sufficient"/>
    <n v="11499060"/>
    <n v="13371"/>
  </r>
  <r>
    <s v="P1222"/>
    <x v="4"/>
    <n v="113"/>
    <n v="31"/>
    <x v="3"/>
    <n v="52090"/>
    <s v="Sufficient"/>
    <n v="5886170"/>
    <n v="10418"/>
  </r>
  <r>
    <s v="P1223"/>
    <x v="7"/>
    <n v="177"/>
    <n v="32"/>
    <x v="1"/>
    <n v="52813"/>
    <s v="Sufficient"/>
    <n v="9347901"/>
    <n v="10562.6"/>
  </r>
  <r>
    <s v="P1224"/>
    <x v="3"/>
    <n v="152"/>
    <n v="24"/>
    <x v="1"/>
    <n v="22557"/>
    <s v="Sufficient"/>
    <n v="3428664"/>
    <n v="4511.4000000000005"/>
  </r>
  <r>
    <s v="P1225"/>
    <x v="3"/>
    <n v="195"/>
    <n v="35"/>
    <x v="4"/>
    <n v="34619"/>
    <s v="Sufficient"/>
    <n v="6750705"/>
    <n v="6923.8"/>
  </r>
  <r>
    <s v="P1226"/>
    <x v="0"/>
    <n v="122"/>
    <n v="23"/>
    <x v="3"/>
    <n v="11431"/>
    <s v="Sufficient"/>
    <n v="1394582"/>
    <n v="2286.2000000000003"/>
  </r>
  <r>
    <s v="P1227"/>
    <x v="5"/>
    <n v="14"/>
    <n v="12"/>
    <x v="2"/>
    <n v="70828"/>
    <s v="Sufficient"/>
    <n v="991592"/>
    <n v="14165.6"/>
  </r>
  <r>
    <s v="P1228"/>
    <x v="4"/>
    <n v="1"/>
    <n v="25"/>
    <x v="2"/>
    <n v="61218"/>
    <s v="Low Stock"/>
    <n v="61218"/>
    <n v="12243.6"/>
  </r>
  <r>
    <s v="P1229"/>
    <x v="3"/>
    <n v="114"/>
    <n v="38"/>
    <x v="3"/>
    <n v="22650"/>
    <s v="Sufficient"/>
    <n v="2582100"/>
    <n v="4530"/>
  </r>
  <r>
    <s v="P1230"/>
    <x v="5"/>
    <n v="196"/>
    <n v="33"/>
    <x v="2"/>
    <n v="35121"/>
    <s v="Sufficient"/>
    <n v="6883716"/>
    <n v="7024.2000000000007"/>
  </r>
  <r>
    <s v="P1231"/>
    <x v="4"/>
    <n v="190"/>
    <n v="31"/>
    <x v="4"/>
    <n v="4246"/>
    <s v="Sufficient"/>
    <n v="806740"/>
    <n v="849.2"/>
  </r>
  <r>
    <s v="P1232"/>
    <x v="7"/>
    <n v="46"/>
    <n v="24"/>
    <x v="4"/>
    <n v="79801"/>
    <s v="Sufficient"/>
    <n v="3670846"/>
    <n v="15960.2"/>
  </r>
  <r>
    <s v="P1233"/>
    <x v="6"/>
    <n v="140"/>
    <n v="10"/>
    <x v="0"/>
    <n v="7520"/>
    <s v="Sufficient"/>
    <n v="1052800"/>
    <n v="1504"/>
  </r>
  <r>
    <s v="P1234"/>
    <x v="1"/>
    <n v="148"/>
    <n v="40"/>
    <x v="2"/>
    <n v="29587"/>
    <s v="Sufficient"/>
    <n v="4378876"/>
    <n v="5917.4000000000005"/>
  </r>
  <r>
    <s v="P1235"/>
    <x v="1"/>
    <n v="91"/>
    <n v="22"/>
    <x v="0"/>
    <n v="23932"/>
    <s v="Sufficient"/>
    <n v="2177812"/>
    <n v="4786.4000000000005"/>
  </r>
  <r>
    <s v="P1236"/>
    <x v="0"/>
    <n v="151"/>
    <n v="19"/>
    <x v="0"/>
    <n v="11329"/>
    <s v="Sufficient"/>
    <n v="1710679"/>
    <n v="2265.8000000000002"/>
  </r>
  <r>
    <s v="P1237"/>
    <x v="2"/>
    <n v="136"/>
    <n v="36"/>
    <x v="0"/>
    <n v="49227"/>
    <s v="Sufficient"/>
    <n v="6694872"/>
    <n v="9845.4000000000015"/>
  </r>
  <r>
    <s v="P1238"/>
    <x v="2"/>
    <n v="190"/>
    <n v="21"/>
    <x v="2"/>
    <n v="8800"/>
    <s v="Sufficient"/>
    <n v="1672000"/>
    <n v="1760"/>
  </r>
  <r>
    <s v="P1239"/>
    <x v="2"/>
    <n v="67"/>
    <n v="25"/>
    <x v="3"/>
    <n v="11085"/>
    <s v="Sufficient"/>
    <n v="742695"/>
    <n v="2217"/>
  </r>
  <r>
    <s v="P1240"/>
    <x v="4"/>
    <n v="130"/>
    <n v="35"/>
    <x v="1"/>
    <n v="46059"/>
    <s v="Sufficient"/>
    <n v="5987670"/>
    <n v="9211.8000000000011"/>
  </r>
  <r>
    <s v="P1241"/>
    <x v="6"/>
    <n v="126"/>
    <n v="29"/>
    <x v="4"/>
    <n v="61923"/>
    <s v="Sufficient"/>
    <n v="7802298"/>
    <n v="12384.6"/>
  </r>
  <r>
    <s v="P1242"/>
    <x v="5"/>
    <n v="146"/>
    <n v="32"/>
    <x v="4"/>
    <n v="20431"/>
    <s v="Sufficient"/>
    <n v="2982926"/>
    <n v="4086.2000000000003"/>
  </r>
  <r>
    <s v="P1243"/>
    <x v="3"/>
    <n v="52"/>
    <n v="49"/>
    <x v="1"/>
    <n v="1293"/>
    <s v="Sufficient"/>
    <n v="67236"/>
    <n v="258.60000000000002"/>
  </r>
  <r>
    <s v="P1244"/>
    <x v="7"/>
    <n v="166"/>
    <n v="31"/>
    <x v="3"/>
    <n v="23702"/>
    <s v="Sufficient"/>
    <n v="3934532"/>
    <n v="4740.4000000000005"/>
  </r>
  <r>
    <s v="P1245"/>
    <x v="0"/>
    <n v="55"/>
    <n v="40"/>
    <x v="1"/>
    <n v="14907"/>
    <s v="Sufficient"/>
    <n v="819885"/>
    <n v="2981.4"/>
  </r>
  <r>
    <s v="P1246"/>
    <x v="0"/>
    <n v="25"/>
    <n v="27"/>
    <x v="0"/>
    <n v="30489"/>
    <s v="Low Stock"/>
    <n v="762225"/>
    <n v="6097.8"/>
  </r>
  <r>
    <s v="P1247"/>
    <x v="4"/>
    <n v="84"/>
    <n v="19"/>
    <x v="0"/>
    <n v="69023"/>
    <s v="Sufficient"/>
    <n v="5797932"/>
    <n v="13804.6"/>
  </r>
  <r>
    <s v="P1248"/>
    <x v="5"/>
    <n v="182"/>
    <n v="29"/>
    <x v="0"/>
    <n v="23708"/>
    <s v="Sufficient"/>
    <n v="4314856"/>
    <n v="4741.6000000000004"/>
  </r>
  <r>
    <s v="P1249"/>
    <x v="7"/>
    <n v="91"/>
    <n v="30"/>
    <x v="1"/>
    <n v="65599"/>
    <s v="Sufficient"/>
    <n v="5969509"/>
    <n v="13119.800000000001"/>
  </r>
  <r>
    <s v="P1250"/>
    <x v="3"/>
    <n v="126"/>
    <n v="46"/>
    <x v="1"/>
    <n v="52260"/>
    <s v="Sufficient"/>
    <n v="6584760"/>
    <n v="10452"/>
  </r>
  <r>
    <s v="P1251"/>
    <x v="7"/>
    <n v="85"/>
    <n v="17"/>
    <x v="3"/>
    <n v="15832"/>
    <s v="Sufficient"/>
    <n v="1345720"/>
    <n v="3166.4"/>
  </r>
  <r>
    <s v="P1252"/>
    <x v="5"/>
    <n v="194"/>
    <n v="11"/>
    <x v="0"/>
    <n v="4004"/>
    <s v="Sufficient"/>
    <n v="776776"/>
    <n v="800.80000000000007"/>
  </r>
  <r>
    <s v="P1253"/>
    <x v="4"/>
    <n v="8"/>
    <n v="31"/>
    <x v="1"/>
    <n v="12726"/>
    <s v="Low Stock"/>
    <n v="101808"/>
    <n v="2545.2000000000003"/>
  </r>
  <r>
    <s v="P1254"/>
    <x v="3"/>
    <n v="5"/>
    <n v="19"/>
    <x v="3"/>
    <n v="34759"/>
    <s v="Low Stock"/>
    <n v="173795"/>
    <n v="6951.8"/>
  </r>
  <r>
    <s v="P1255"/>
    <x v="3"/>
    <n v="43"/>
    <n v="25"/>
    <x v="1"/>
    <n v="16014"/>
    <s v="Sufficient"/>
    <n v="688602"/>
    <n v="3202.8"/>
  </r>
  <r>
    <s v="P1256"/>
    <x v="2"/>
    <n v="77"/>
    <n v="30"/>
    <x v="2"/>
    <n v="24834"/>
    <s v="Sufficient"/>
    <n v="1912218"/>
    <n v="4966.8"/>
  </r>
  <r>
    <s v="P1257"/>
    <x v="0"/>
    <n v="129"/>
    <n v="48"/>
    <x v="0"/>
    <n v="64419"/>
    <s v="Sufficient"/>
    <n v="8310051"/>
    <n v="12883.800000000001"/>
  </r>
  <r>
    <s v="P1258"/>
    <x v="6"/>
    <n v="183"/>
    <n v="22"/>
    <x v="0"/>
    <n v="79496"/>
    <s v="Sufficient"/>
    <n v="14547768"/>
    <n v="15899.2"/>
  </r>
  <r>
    <s v="P1259"/>
    <x v="6"/>
    <n v="192"/>
    <n v="15"/>
    <x v="0"/>
    <n v="72419"/>
    <s v="Sufficient"/>
    <n v="13904448"/>
    <n v="14483.800000000001"/>
  </r>
  <r>
    <s v="P1260"/>
    <x v="6"/>
    <n v="43"/>
    <n v="17"/>
    <x v="4"/>
    <n v="68798"/>
    <s v="Sufficient"/>
    <n v="2958314"/>
    <n v="13759.6"/>
  </r>
  <r>
    <s v="P1261"/>
    <x v="5"/>
    <n v="112"/>
    <n v="29"/>
    <x v="0"/>
    <n v="32925"/>
    <s v="Sufficient"/>
    <n v="3687600"/>
    <n v="6585"/>
  </r>
  <r>
    <s v="P1262"/>
    <x v="4"/>
    <n v="146"/>
    <n v="18"/>
    <x v="4"/>
    <n v="12433"/>
    <s v="Sufficient"/>
    <n v="1815218"/>
    <n v="2486.6000000000004"/>
  </r>
  <r>
    <s v="P1263"/>
    <x v="7"/>
    <n v="56"/>
    <n v="37"/>
    <x v="1"/>
    <n v="17312"/>
    <s v="Sufficient"/>
    <n v="969472"/>
    <n v="3462.4"/>
  </r>
  <r>
    <s v="P1264"/>
    <x v="7"/>
    <n v="96"/>
    <n v="34"/>
    <x v="0"/>
    <n v="17819"/>
    <s v="Sufficient"/>
    <n v="1710624"/>
    <n v="3563.8"/>
  </r>
  <r>
    <s v="P1265"/>
    <x v="2"/>
    <n v="104"/>
    <n v="26"/>
    <x v="1"/>
    <n v="16985"/>
    <s v="Sufficient"/>
    <n v="1766440"/>
    <n v="3397"/>
  </r>
  <r>
    <s v="P1266"/>
    <x v="4"/>
    <n v="136"/>
    <n v="12"/>
    <x v="2"/>
    <n v="43666"/>
    <s v="Sufficient"/>
    <n v="5938576"/>
    <n v="8733.2000000000007"/>
  </r>
  <r>
    <s v="P1267"/>
    <x v="6"/>
    <n v="84"/>
    <n v="46"/>
    <x v="0"/>
    <n v="74505"/>
    <s v="Sufficient"/>
    <n v="6258420"/>
    <n v="14901"/>
  </r>
  <r>
    <s v="P1268"/>
    <x v="2"/>
    <n v="7"/>
    <n v="22"/>
    <x v="2"/>
    <n v="76413"/>
    <s v="Low Stock"/>
    <n v="534891"/>
    <n v="15282.6"/>
  </r>
  <r>
    <s v="P1269"/>
    <x v="7"/>
    <n v="139"/>
    <n v="14"/>
    <x v="3"/>
    <n v="27394"/>
    <s v="Sufficient"/>
    <n v="3807766"/>
    <n v="5478.8"/>
  </r>
  <r>
    <s v="P1270"/>
    <x v="3"/>
    <n v="101"/>
    <n v="18"/>
    <x v="1"/>
    <n v="19043"/>
    <s v="Sufficient"/>
    <n v="1923343"/>
    <n v="3808.6000000000004"/>
  </r>
  <r>
    <s v="P1271"/>
    <x v="0"/>
    <n v="111"/>
    <n v="45"/>
    <x v="4"/>
    <n v="71795"/>
    <s v="Sufficient"/>
    <n v="7969245"/>
    <n v="14359"/>
  </r>
  <r>
    <s v="P1272"/>
    <x v="7"/>
    <n v="71"/>
    <n v="39"/>
    <x v="3"/>
    <n v="32282"/>
    <s v="Sufficient"/>
    <n v="2292022"/>
    <n v="6456.4000000000005"/>
  </r>
  <r>
    <s v="P1273"/>
    <x v="1"/>
    <n v="8"/>
    <n v="15"/>
    <x v="3"/>
    <n v="38352"/>
    <s v="Low Stock"/>
    <n v="306816"/>
    <n v="7670.4000000000005"/>
  </r>
  <r>
    <s v="P1274"/>
    <x v="1"/>
    <n v="183"/>
    <n v="31"/>
    <x v="2"/>
    <n v="25885"/>
    <s v="Sufficient"/>
    <n v="4736955"/>
    <n v="5177"/>
  </r>
  <r>
    <s v="P1275"/>
    <x v="5"/>
    <n v="181"/>
    <n v="48"/>
    <x v="4"/>
    <n v="21077"/>
    <s v="Sufficient"/>
    <n v="3814937"/>
    <n v="4215.4000000000005"/>
  </r>
  <r>
    <s v="P1276"/>
    <x v="3"/>
    <n v="142"/>
    <n v="27"/>
    <x v="2"/>
    <n v="67740"/>
    <s v="Sufficient"/>
    <n v="9619080"/>
    <n v="13548"/>
  </r>
  <r>
    <s v="P1277"/>
    <x v="5"/>
    <n v="167"/>
    <n v="33"/>
    <x v="0"/>
    <n v="49732"/>
    <s v="Sufficient"/>
    <n v="8305244"/>
    <n v="9946.4000000000015"/>
  </r>
  <r>
    <s v="P1278"/>
    <x v="6"/>
    <n v="42"/>
    <n v="13"/>
    <x v="4"/>
    <n v="75667"/>
    <s v="Sufficient"/>
    <n v="3178014"/>
    <n v="15133.400000000001"/>
  </r>
  <r>
    <s v="P1279"/>
    <x v="6"/>
    <n v="86"/>
    <n v="19"/>
    <x v="0"/>
    <n v="11895"/>
    <s v="Sufficient"/>
    <n v="1022970"/>
    <n v="2379"/>
  </r>
  <r>
    <s v="P1280"/>
    <x v="7"/>
    <n v="28"/>
    <n v="35"/>
    <x v="3"/>
    <n v="55988"/>
    <s v="Low Stock"/>
    <n v="1567664"/>
    <n v="11197.6"/>
  </r>
  <r>
    <s v="P1281"/>
    <x v="2"/>
    <n v="142"/>
    <n v="47"/>
    <x v="1"/>
    <n v="42273"/>
    <s v="Sufficient"/>
    <n v="6002766"/>
    <n v="8454.6"/>
  </r>
  <r>
    <s v="P1282"/>
    <x v="1"/>
    <n v="89"/>
    <n v="45"/>
    <x v="4"/>
    <n v="1428"/>
    <s v="Sufficient"/>
    <n v="127092"/>
    <n v="285.60000000000002"/>
  </r>
  <r>
    <s v="P1283"/>
    <x v="3"/>
    <n v="198"/>
    <n v="48"/>
    <x v="3"/>
    <n v="49314"/>
    <s v="Sufficient"/>
    <n v="9764172"/>
    <n v="9862.8000000000011"/>
  </r>
  <r>
    <s v="P1284"/>
    <x v="1"/>
    <n v="91"/>
    <n v="12"/>
    <x v="4"/>
    <n v="47388"/>
    <s v="Sufficient"/>
    <n v="4312308"/>
    <n v="9477.6"/>
  </r>
  <r>
    <s v="P1285"/>
    <x v="1"/>
    <n v="105"/>
    <n v="36"/>
    <x v="0"/>
    <n v="60550"/>
    <s v="Sufficient"/>
    <n v="6357750"/>
    <n v="12110"/>
  </r>
  <r>
    <s v="P1286"/>
    <x v="4"/>
    <n v="66"/>
    <n v="23"/>
    <x v="2"/>
    <n v="61866"/>
    <s v="Sufficient"/>
    <n v="4083156"/>
    <n v="12373.2"/>
  </r>
  <r>
    <s v="P1287"/>
    <x v="7"/>
    <n v="3"/>
    <n v="41"/>
    <x v="1"/>
    <n v="23326"/>
    <s v="Low Stock"/>
    <n v="69978"/>
    <n v="4665.2"/>
  </r>
  <r>
    <s v="P1288"/>
    <x v="4"/>
    <n v="13"/>
    <n v="14"/>
    <x v="3"/>
    <n v="50898"/>
    <s v="Low Stock"/>
    <n v="661674"/>
    <n v="10179.6"/>
  </r>
  <r>
    <s v="P1289"/>
    <x v="3"/>
    <n v="189"/>
    <n v="25"/>
    <x v="0"/>
    <n v="70756"/>
    <s v="Sufficient"/>
    <n v="13372884"/>
    <n v="14151.2"/>
  </r>
  <r>
    <s v="P1290"/>
    <x v="4"/>
    <n v="102"/>
    <n v="19"/>
    <x v="1"/>
    <n v="79302"/>
    <s v="Sufficient"/>
    <n v="8088804"/>
    <n v="15860.400000000001"/>
  </r>
  <r>
    <s v="P1291"/>
    <x v="7"/>
    <n v="31"/>
    <n v="42"/>
    <x v="1"/>
    <n v="40122"/>
    <s v="Low Stock"/>
    <n v="1243782"/>
    <n v="8024.4000000000005"/>
  </r>
  <r>
    <s v="P1292"/>
    <x v="2"/>
    <n v="178"/>
    <n v="48"/>
    <x v="4"/>
    <n v="1119"/>
    <s v="Sufficient"/>
    <n v="199182"/>
    <n v="223.8"/>
  </r>
  <r>
    <s v="P1293"/>
    <x v="3"/>
    <n v="179"/>
    <n v="26"/>
    <x v="1"/>
    <n v="6525"/>
    <s v="Sufficient"/>
    <n v="1167975"/>
    <n v="1305"/>
  </r>
  <r>
    <s v="P1294"/>
    <x v="1"/>
    <n v="8"/>
    <n v="45"/>
    <x v="1"/>
    <n v="19376"/>
    <s v="Low Stock"/>
    <n v="155008"/>
    <n v="3875.2000000000003"/>
  </r>
  <r>
    <s v="P1295"/>
    <x v="5"/>
    <n v="135"/>
    <n v="29"/>
    <x v="3"/>
    <n v="70089"/>
    <s v="Sufficient"/>
    <n v="9462015"/>
    <n v="14017.800000000001"/>
  </r>
  <r>
    <s v="P1296"/>
    <x v="0"/>
    <n v="141"/>
    <n v="22"/>
    <x v="2"/>
    <n v="51161"/>
    <s v="Sufficient"/>
    <n v="7213701"/>
    <n v="10232.200000000001"/>
  </r>
  <r>
    <s v="P1297"/>
    <x v="2"/>
    <n v="123"/>
    <n v="22"/>
    <x v="1"/>
    <n v="41553"/>
    <s v="Sufficient"/>
    <n v="5111019"/>
    <n v="8310.6"/>
  </r>
  <r>
    <s v="P1298"/>
    <x v="4"/>
    <n v="122"/>
    <n v="37"/>
    <x v="2"/>
    <n v="67007"/>
    <s v="Sufficient"/>
    <n v="8174854"/>
    <n v="13401.400000000001"/>
  </r>
  <r>
    <s v="P1299"/>
    <x v="2"/>
    <n v="199"/>
    <n v="44"/>
    <x v="3"/>
    <n v="57582"/>
    <s v="Sufficient"/>
    <n v="11458818"/>
    <n v="11516.400000000001"/>
  </r>
  <r>
    <s v="P1300"/>
    <x v="1"/>
    <n v="182"/>
    <n v="35"/>
    <x v="4"/>
    <n v="54889"/>
    <s v="Sufficient"/>
    <n v="9989798"/>
    <n v="10977.800000000001"/>
  </r>
  <r>
    <s v="P1301"/>
    <x v="0"/>
    <n v="133"/>
    <n v="27"/>
    <x v="4"/>
    <n v="72071"/>
    <s v="Sufficient"/>
    <n v="9585443"/>
    <n v="14414.2"/>
  </r>
  <r>
    <s v="P1302"/>
    <x v="1"/>
    <n v="168"/>
    <n v="49"/>
    <x v="0"/>
    <n v="66704"/>
    <s v="Sufficient"/>
    <n v="11206272"/>
    <n v="13340.800000000001"/>
  </r>
  <r>
    <s v="P1303"/>
    <x v="5"/>
    <n v="113"/>
    <n v="37"/>
    <x v="2"/>
    <n v="79875"/>
    <s v="Sufficient"/>
    <n v="9025875"/>
    <n v="15975"/>
  </r>
  <r>
    <s v="P1304"/>
    <x v="5"/>
    <n v="31"/>
    <n v="32"/>
    <x v="4"/>
    <n v="36409"/>
    <s v="Low Stock"/>
    <n v="1128679"/>
    <n v="7281.8"/>
  </r>
  <r>
    <s v="P1305"/>
    <x v="3"/>
    <n v="62"/>
    <n v="50"/>
    <x v="3"/>
    <n v="28376"/>
    <s v="Sufficient"/>
    <n v="1759312"/>
    <n v="5675.2000000000007"/>
  </r>
  <r>
    <s v="P1306"/>
    <x v="6"/>
    <n v="196"/>
    <n v="10"/>
    <x v="4"/>
    <n v="75695"/>
    <s v="Sufficient"/>
    <n v="14836220"/>
    <n v="15139"/>
  </r>
  <r>
    <s v="P1307"/>
    <x v="2"/>
    <n v="68"/>
    <n v="23"/>
    <x v="0"/>
    <n v="39718"/>
    <s v="Sufficient"/>
    <n v="2700824"/>
    <n v="7943.6"/>
  </r>
  <r>
    <s v="P1308"/>
    <x v="7"/>
    <n v="84"/>
    <n v="16"/>
    <x v="2"/>
    <n v="49473"/>
    <s v="Sufficient"/>
    <n v="4155732"/>
    <n v="9894.6"/>
  </r>
  <r>
    <s v="P1309"/>
    <x v="7"/>
    <n v="73"/>
    <n v="29"/>
    <x v="4"/>
    <n v="63257"/>
    <s v="Sufficient"/>
    <n v="4617761"/>
    <n v="12651.400000000001"/>
  </r>
  <r>
    <s v="P1310"/>
    <x v="4"/>
    <n v="5"/>
    <n v="24"/>
    <x v="0"/>
    <n v="70622"/>
    <s v="Low Stock"/>
    <n v="353110"/>
    <n v="14124.400000000001"/>
  </r>
  <r>
    <s v="P1311"/>
    <x v="1"/>
    <n v="113"/>
    <n v="17"/>
    <x v="2"/>
    <n v="23834"/>
    <s v="Sufficient"/>
    <n v="2693242"/>
    <n v="4766.8"/>
  </r>
  <r>
    <s v="P1312"/>
    <x v="6"/>
    <n v="105"/>
    <n v="33"/>
    <x v="0"/>
    <n v="50801"/>
    <s v="Sufficient"/>
    <n v="5334105"/>
    <n v="10160.200000000001"/>
  </r>
  <r>
    <s v="P1313"/>
    <x v="1"/>
    <n v="166"/>
    <n v="41"/>
    <x v="3"/>
    <n v="57760"/>
    <s v="Sufficient"/>
    <n v="9588160"/>
    <n v="11552"/>
  </r>
  <r>
    <s v="P1314"/>
    <x v="4"/>
    <n v="194"/>
    <n v="16"/>
    <x v="3"/>
    <n v="64060"/>
    <s v="Sufficient"/>
    <n v="12427640"/>
    <n v="12812"/>
  </r>
  <r>
    <s v="P1315"/>
    <x v="6"/>
    <n v="68"/>
    <n v="37"/>
    <x v="4"/>
    <n v="21515"/>
    <s v="Sufficient"/>
    <n v="1463020"/>
    <n v="4303"/>
  </r>
  <r>
    <s v="P1316"/>
    <x v="6"/>
    <n v="158"/>
    <n v="46"/>
    <x v="4"/>
    <n v="35659"/>
    <s v="Sufficient"/>
    <n v="5634122"/>
    <n v="7131.8"/>
  </r>
  <r>
    <s v="P1317"/>
    <x v="0"/>
    <n v="142"/>
    <n v="36"/>
    <x v="1"/>
    <n v="5708"/>
    <s v="Sufficient"/>
    <n v="810536"/>
    <n v="1141.6000000000001"/>
  </r>
  <r>
    <s v="P1318"/>
    <x v="7"/>
    <n v="118"/>
    <n v="28"/>
    <x v="0"/>
    <n v="11873"/>
    <s v="Sufficient"/>
    <n v="1401014"/>
    <n v="2374.6"/>
  </r>
  <r>
    <s v="P1319"/>
    <x v="6"/>
    <n v="65"/>
    <n v="10"/>
    <x v="3"/>
    <n v="77238"/>
    <s v="Sufficient"/>
    <n v="5020470"/>
    <n v="15447.6"/>
  </r>
  <r>
    <s v="P1320"/>
    <x v="4"/>
    <n v="164"/>
    <n v="47"/>
    <x v="4"/>
    <n v="23168"/>
    <s v="Sufficient"/>
    <n v="3799552"/>
    <n v="4633.6000000000004"/>
  </r>
  <r>
    <s v="P1321"/>
    <x v="3"/>
    <n v="11"/>
    <n v="29"/>
    <x v="4"/>
    <n v="52680"/>
    <s v="Low Stock"/>
    <n v="579480"/>
    <n v="10536"/>
  </r>
  <r>
    <s v="P1322"/>
    <x v="5"/>
    <n v="72"/>
    <n v="44"/>
    <x v="3"/>
    <n v="42452"/>
    <s v="Sufficient"/>
    <n v="3056544"/>
    <n v="8490.4"/>
  </r>
  <r>
    <s v="P1323"/>
    <x v="6"/>
    <n v="98"/>
    <n v="39"/>
    <x v="0"/>
    <n v="53028"/>
    <s v="Sufficient"/>
    <n v="5196744"/>
    <n v="10605.6"/>
  </r>
  <r>
    <s v="P1324"/>
    <x v="7"/>
    <n v="99"/>
    <n v="14"/>
    <x v="0"/>
    <n v="20386"/>
    <s v="Sufficient"/>
    <n v="2018214"/>
    <n v="4077.2000000000003"/>
  </r>
  <r>
    <s v="P1325"/>
    <x v="4"/>
    <n v="52"/>
    <n v="40"/>
    <x v="4"/>
    <n v="66747"/>
    <s v="Sufficient"/>
    <n v="3470844"/>
    <n v="13349.400000000001"/>
  </r>
  <r>
    <s v="P1326"/>
    <x v="1"/>
    <n v="171"/>
    <n v="10"/>
    <x v="0"/>
    <n v="52215"/>
    <s v="Sufficient"/>
    <n v="8928765"/>
    <n v="10443"/>
  </r>
  <r>
    <s v="P1327"/>
    <x v="6"/>
    <n v="116"/>
    <n v="40"/>
    <x v="4"/>
    <n v="60680"/>
    <s v="Sufficient"/>
    <n v="7038880"/>
    <n v="12136"/>
  </r>
  <r>
    <s v="P1328"/>
    <x v="5"/>
    <n v="70"/>
    <n v="19"/>
    <x v="1"/>
    <n v="4042"/>
    <s v="Sufficient"/>
    <n v="282940"/>
    <n v="808.40000000000009"/>
  </r>
  <r>
    <s v="P1329"/>
    <x v="3"/>
    <n v="129"/>
    <n v="23"/>
    <x v="3"/>
    <n v="68061"/>
    <s v="Sufficient"/>
    <n v="8779869"/>
    <n v="13612.2"/>
  </r>
  <r>
    <s v="P1330"/>
    <x v="4"/>
    <n v="81"/>
    <n v="10"/>
    <x v="0"/>
    <n v="46820"/>
    <s v="Sufficient"/>
    <n v="3792420"/>
    <n v="9364"/>
  </r>
  <r>
    <s v="P1331"/>
    <x v="0"/>
    <n v="129"/>
    <n v="28"/>
    <x v="1"/>
    <n v="18228"/>
    <s v="Sufficient"/>
    <n v="2351412"/>
    <n v="3645.6000000000004"/>
  </r>
  <r>
    <s v="P1332"/>
    <x v="4"/>
    <n v="62"/>
    <n v="11"/>
    <x v="0"/>
    <n v="34115"/>
    <s v="Sufficient"/>
    <n v="2115130"/>
    <n v="6823"/>
  </r>
  <r>
    <s v="P1333"/>
    <x v="7"/>
    <n v="151"/>
    <n v="50"/>
    <x v="0"/>
    <n v="6575"/>
    <s v="Sufficient"/>
    <n v="992825"/>
    <n v="1315"/>
  </r>
  <r>
    <s v="P1334"/>
    <x v="5"/>
    <n v="61"/>
    <n v="34"/>
    <x v="1"/>
    <n v="29523"/>
    <s v="Sufficient"/>
    <n v="1800903"/>
    <n v="5904.6"/>
  </r>
  <r>
    <s v="P1335"/>
    <x v="7"/>
    <n v="114"/>
    <n v="43"/>
    <x v="2"/>
    <n v="72895"/>
    <s v="Sufficient"/>
    <n v="8310030"/>
    <n v="14579"/>
  </r>
  <r>
    <s v="P1336"/>
    <x v="1"/>
    <n v="96"/>
    <n v="35"/>
    <x v="0"/>
    <n v="58489"/>
    <s v="Sufficient"/>
    <n v="5614944"/>
    <n v="11697.800000000001"/>
  </r>
  <r>
    <s v="P1337"/>
    <x v="3"/>
    <n v="94"/>
    <n v="27"/>
    <x v="4"/>
    <n v="78429"/>
    <s v="Sufficient"/>
    <n v="7372326"/>
    <n v="15685.800000000001"/>
  </r>
  <r>
    <s v="P1338"/>
    <x v="4"/>
    <n v="74"/>
    <n v="38"/>
    <x v="3"/>
    <n v="68619"/>
    <s v="Sufficient"/>
    <n v="5077806"/>
    <n v="13723.800000000001"/>
  </r>
  <r>
    <s v="P1339"/>
    <x v="1"/>
    <n v="41"/>
    <n v="19"/>
    <x v="3"/>
    <n v="24072"/>
    <s v="Sufficient"/>
    <n v="986952"/>
    <n v="4814.4000000000005"/>
  </r>
  <r>
    <s v="P1340"/>
    <x v="5"/>
    <n v="152"/>
    <n v="50"/>
    <x v="1"/>
    <n v="34077"/>
    <s v="Sufficient"/>
    <n v="5179704"/>
    <n v="6815.4000000000005"/>
  </r>
  <r>
    <s v="P1341"/>
    <x v="3"/>
    <n v="131"/>
    <n v="19"/>
    <x v="1"/>
    <n v="30909"/>
    <s v="Sufficient"/>
    <n v="4049079"/>
    <n v="6181.8"/>
  </r>
  <r>
    <s v="P1342"/>
    <x v="6"/>
    <n v="112"/>
    <n v="45"/>
    <x v="2"/>
    <n v="78060"/>
    <s v="Sufficient"/>
    <n v="8742720"/>
    <n v="15612"/>
  </r>
  <r>
    <s v="P1343"/>
    <x v="7"/>
    <n v="44"/>
    <n v="49"/>
    <x v="4"/>
    <n v="69785"/>
    <s v="Low Stock"/>
    <n v="3070540"/>
    <n v="13957"/>
  </r>
  <r>
    <s v="P1344"/>
    <x v="2"/>
    <n v="188"/>
    <n v="38"/>
    <x v="4"/>
    <n v="34085"/>
    <s v="Sufficient"/>
    <n v="6407980"/>
    <n v="6817"/>
  </r>
  <r>
    <s v="P1345"/>
    <x v="1"/>
    <n v="21"/>
    <n v="17"/>
    <x v="0"/>
    <n v="77950"/>
    <s v="Sufficient"/>
    <n v="1636950"/>
    <n v="15590"/>
  </r>
  <r>
    <s v="P1346"/>
    <x v="1"/>
    <n v="72"/>
    <n v="36"/>
    <x v="0"/>
    <n v="70082"/>
    <s v="Sufficient"/>
    <n v="5045904"/>
    <n v="14016.400000000001"/>
  </r>
  <r>
    <s v="P1347"/>
    <x v="1"/>
    <n v="119"/>
    <n v="48"/>
    <x v="3"/>
    <n v="3312"/>
    <s v="Sufficient"/>
    <n v="394128"/>
    <n v="662.40000000000009"/>
  </r>
  <r>
    <s v="P1348"/>
    <x v="2"/>
    <n v="87"/>
    <n v="18"/>
    <x v="1"/>
    <n v="42658"/>
    <s v="Sufficient"/>
    <n v="3711246"/>
    <n v="8531.6"/>
  </r>
  <r>
    <s v="P1349"/>
    <x v="5"/>
    <n v="121"/>
    <n v="43"/>
    <x v="2"/>
    <n v="19018"/>
    <s v="Sufficient"/>
    <n v="2301178"/>
    <n v="3803.6000000000004"/>
  </r>
  <r>
    <s v="P1350"/>
    <x v="1"/>
    <n v="153"/>
    <n v="41"/>
    <x v="1"/>
    <n v="75688"/>
    <s v="Sufficient"/>
    <n v="11580264"/>
    <n v="15137.6"/>
  </r>
  <r>
    <s v="P1351"/>
    <x v="6"/>
    <n v="46"/>
    <n v="27"/>
    <x v="3"/>
    <n v="72890"/>
    <s v="Sufficient"/>
    <n v="3352940"/>
    <n v="14578"/>
  </r>
  <r>
    <s v="P1352"/>
    <x v="6"/>
    <n v="143"/>
    <n v="41"/>
    <x v="4"/>
    <n v="35967"/>
    <s v="Sufficient"/>
    <n v="5143281"/>
    <n v="7193.4000000000005"/>
  </r>
  <r>
    <s v="P1353"/>
    <x v="3"/>
    <n v="141"/>
    <n v="32"/>
    <x v="2"/>
    <n v="23203"/>
    <s v="Sufficient"/>
    <n v="3271623"/>
    <n v="4640.6000000000004"/>
  </r>
  <r>
    <s v="P1354"/>
    <x v="0"/>
    <n v="117"/>
    <n v="41"/>
    <x v="0"/>
    <n v="12902"/>
    <s v="Sufficient"/>
    <n v="1509534"/>
    <n v="2580.4"/>
  </r>
  <r>
    <s v="P1355"/>
    <x v="4"/>
    <n v="155"/>
    <n v="26"/>
    <x v="1"/>
    <n v="51506"/>
    <s v="Sufficient"/>
    <n v="7983430"/>
    <n v="10301.200000000001"/>
  </r>
  <r>
    <s v="P1356"/>
    <x v="3"/>
    <n v="96"/>
    <n v="32"/>
    <x v="0"/>
    <n v="60893"/>
    <s v="Sufficient"/>
    <n v="5845728"/>
    <n v="12178.6"/>
  </r>
  <r>
    <s v="P1357"/>
    <x v="2"/>
    <n v="127"/>
    <n v="10"/>
    <x v="0"/>
    <n v="13261"/>
    <s v="Sufficient"/>
    <n v="1684147"/>
    <n v="2652.2000000000003"/>
  </r>
  <r>
    <s v="P1358"/>
    <x v="0"/>
    <n v="32"/>
    <n v="49"/>
    <x v="3"/>
    <n v="47688"/>
    <s v="Low Stock"/>
    <n v="1526016"/>
    <n v="9537.6"/>
  </r>
  <r>
    <s v="P1359"/>
    <x v="2"/>
    <n v="194"/>
    <n v="22"/>
    <x v="0"/>
    <n v="24203"/>
    <s v="Sufficient"/>
    <n v="4695382"/>
    <n v="4840.6000000000004"/>
  </r>
  <r>
    <s v="P1360"/>
    <x v="0"/>
    <n v="65"/>
    <n v="49"/>
    <x v="0"/>
    <n v="30009"/>
    <s v="Sufficient"/>
    <n v="1950585"/>
    <n v="6001.8"/>
  </r>
  <r>
    <s v="P1361"/>
    <x v="0"/>
    <n v="47"/>
    <n v="48"/>
    <x v="4"/>
    <n v="22165"/>
    <s v="Low Stock"/>
    <n v="1041755"/>
    <n v="4433"/>
  </r>
  <r>
    <s v="P1362"/>
    <x v="7"/>
    <n v="100"/>
    <n v="39"/>
    <x v="4"/>
    <n v="5702"/>
    <s v="Sufficient"/>
    <n v="570200"/>
    <n v="1140.4000000000001"/>
  </r>
  <r>
    <s v="P1363"/>
    <x v="3"/>
    <n v="151"/>
    <n v="41"/>
    <x v="3"/>
    <n v="47187"/>
    <s v="Sufficient"/>
    <n v="7125237"/>
    <n v="9437.4"/>
  </r>
  <r>
    <s v="P1364"/>
    <x v="6"/>
    <n v="75"/>
    <n v="37"/>
    <x v="1"/>
    <n v="30727"/>
    <s v="Sufficient"/>
    <n v="2304525"/>
    <n v="6145.4000000000005"/>
  </r>
  <r>
    <s v="P1365"/>
    <x v="2"/>
    <n v="166"/>
    <n v="47"/>
    <x v="1"/>
    <n v="78797"/>
    <s v="Sufficient"/>
    <n v="13080302"/>
    <n v="15759.400000000001"/>
  </r>
  <r>
    <s v="P1366"/>
    <x v="5"/>
    <n v="114"/>
    <n v="35"/>
    <x v="4"/>
    <n v="58378"/>
    <s v="Sufficient"/>
    <n v="6655092"/>
    <n v="11675.6"/>
  </r>
  <r>
    <s v="P1367"/>
    <x v="1"/>
    <n v="169"/>
    <n v="31"/>
    <x v="3"/>
    <n v="48317"/>
    <s v="Sufficient"/>
    <n v="8165573"/>
    <n v="9663.4"/>
  </r>
  <r>
    <s v="P1368"/>
    <x v="7"/>
    <n v="89"/>
    <n v="47"/>
    <x v="0"/>
    <n v="17760"/>
    <s v="Sufficient"/>
    <n v="1580640"/>
    <n v="3552"/>
  </r>
  <r>
    <s v="P1369"/>
    <x v="1"/>
    <n v="102"/>
    <n v="28"/>
    <x v="3"/>
    <n v="6772"/>
    <s v="Sufficient"/>
    <n v="690744"/>
    <n v="1354.4"/>
  </r>
  <r>
    <s v="P1370"/>
    <x v="1"/>
    <n v="135"/>
    <n v="16"/>
    <x v="2"/>
    <n v="26574"/>
    <s v="Sufficient"/>
    <n v="3587490"/>
    <n v="5314.8"/>
  </r>
  <r>
    <s v="P1371"/>
    <x v="7"/>
    <n v="76"/>
    <n v="30"/>
    <x v="4"/>
    <n v="45741"/>
    <s v="Sufficient"/>
    <n v="3476316"/>
    <n v="9148.2000000000007"/>
  </r>
  <r>
    <s v="P1372"/>
    <x v="6"/>
    <n v="181"/>
    <n v="50"/>
    <x v="2"/>
    <n v="981"/>
    <s v="Sufficient"/>
    <n v="177561"/>
    <n v="196.20000000000002"/>
  </r>
  <r>
    <s v="P1373"/>
    <x v="7"/>
    <n v="56"/>
    <n v="48"/>
    <x v="2"/>
    <n v="43022"/>
    <s v="Sufficient"/>
    <n v="2409232"/>
    <n v="8604.4"/>
  </r>
  <r>
    <s v="P1374"/>
    <x v="7"/>
    <n v="148"/>
    <n v="16"/>
    <x v="3"/>
    <n v="37037"/>
    <s v="Sufficient"/>
    <n v="5481476"/>
    <n v="7407.4000000000005"/>
  </r>
  <r>
    <s v="P1375"/>
    <x v="6"/>
    <n v="184"/>
    <n v="19"/>
    <x v="0"/>
    <n v="49209"/>
    <s v="Sufficient"/>
    <n v="9054456"/>
    <n v="9841.8000000000011"/>
  </r>
  <r>
    <s v="P1376"/>
    <x v="6"/>
    <n v="27"/>
    <n v="30"/>
    <x v="1"/>
    <n v="35096"/>
    <s v="Low Stock"/>
    <n v="947592"/>
    <n v="7019.2000000000007"/>
  </r>
  <r>
    <s v="P1377"/>
    <x v="2"/>
    <n v="109"/>
    <n v="45"/>
    <x v="0"/>
    <n v="48607"/>
    <s v="Sufficient"/>
    <n v="5298163"/>
    <n v="9721.4"/>
  </r>
  <r>
    <s v="P1378"/>
    <x v="6"/>
    <n v="125"/>
    <n v="46"/>
    <x v="0"/>
    <n v="23035"/>
    <s v="Sufficient"/>
    <n v="2879375"/>
    <n v="4607"/>
  </r>
  <r>
    <s v="P1379"/>
    <x v="0"/>
    <n v="169"/>
    <n v="16"/>
    <x v="1"/>
    <n v="3925"/>
    <s v="Sufficient"/>
    <n v="663325"/>
    <n v="785"/>
  </r>
  <r>
    <s v="P1380"/>
    <x v="0"/>
    <n v="156"/>
    <n v="29"/>
    <x v="1"/>
    <n v="12736"/>
    <s v="Sufficient"/>
    <n v="1986816"/>
    <n v="2547.2000000000003"/>
  </r>
  <r>
    <s v="P1381"/>
    <x v="4"/>
    <n v="24"/>
    <n v="33"/>
    <x v="3"/>
    <n v="21280"/>
    <s v="Low Stock"/>
    <n v="510720"/>
    <n v="4256"/>
  </r>
  <r>
    <s v="P1382"/>
    <x v="4"/>
    <n v="88"/>
    <n v="14"/>
    <x v="2"/>
    <n v="18909"/>
    <s v="Sufficient"/>
    <n v="1663992"/>
    <n v="3781.8"/>
  </r>
  <r>
    <s v="P1383"/>
    <x v="0"/>
    <n v="126"/>
    <n v="32"/>
    <x v="2"/>
    <n v="12902"/>
    <s v="Sufficient"/>
    <n v="1625652"/>
    <n v="2580.4"/>
  </r>
  <r>
    <s v="P1384"/>
    <x v="0"/>
    <n v="107"/>
    <n v="25"/>
    <x v="4"/>
    <n v="14214"/>
    <s v="Sufficient"/>
    <n v="1520898"/>
    <n v="2842.8"/>
  </r>
  <r>
    <s v="P1385"/>
    <x v="1"/>
    <n v="38"/>
    <n v="35"/>
    <x v="1"/>
    <n v="20393"/>
    <s v="Sufficient"/>
    <n v="774934"/>
    <n v="4078.6000000000004"/>
  </r>
  <r>
    <s v="P1386"/>
    <x v="3"/>
    <n v="173"/>
    <n v="32"/>
    <x v="3"/>
    <n v="31248"/>
    <s v="Sufficient"/>
    <n v="5405904"/>
    <n v="6249.6"/>
  </r>
  <r>
    <s v="P1387"/>
    <x v="6"/>
    <n v="39"/>
    <n v="17"/>
    <x v="2"/>
    <n v="42773"/>
    <s v="Sufficient"/>
    <n v="1668147"/>
    <n v="8554.6"/>
  </r>
  <r>
    <s v="P1388"/>
    <x v="5"/>
    <n v="135"/>
    <n v="27"/>
    <x v="3"/>
    <n v="966"/>
    <s v="Sufficient"/>
    <n v="130410"/>
    <n v="193.20000000000002"/>
  </r>
  <r>
    <s v="P1389"/>
    <x v="0"/>
    <n v="185"/>
    <n v="21"/>
    <x v="4"/>
    <n v="34148"/>
    <s v="Sufficient"/>
    <n v="6317380"/>
    <n v="6829.6"/>
  </r>
  <r>
    <s v="P1390"/>
    <x v="0"/>
    <n v="192"/>
    <n v="48"/>
    <x v="1"/>
    <n v="22084"/>
    <s v="Sufficient"/>
    <n v="4240128"/>
    <n v="4416.8"/>
  </r>
  <r>
    <s v="P1391"/>
    <x v="7"/>
    <n v="161"/>
    <n v="37"/>
    <x v="3"/>
    <n v="75251"/>
    <s v="Sufficient"/>
    <n v="12115411"/>
    <n v="15050.2"/>
  </r>
  <r>
    <s v="P1392"/>
    <x v="6"/>
    <n v="85"/>
    <n v="47"/>
    <x v="4"/>
    <n v="46710"/>
    <s v="Sufficient"/>
    <n v="3970350"/>
    <n v="9342"/>
  </r>
  <r>
    <s v="P1393"/>
    <x v="1"/>
    <n v="174"/>
    <n v="33"/>
    <x v="0"/>
    <n v="5055"/>
    <s v="Sufficient"/>
    <n v="879570"/>
    <n v="1011"/>
  </r>
  <r>
    <s v="P1394"/>
    <x v="4"/>
    <n v="178"/>
    <n v="38"/>
    <x v="1"/>
    <n v="31187"/>
    <s v="Sufficient"/>
    <n v="5551286"/>
    <n v="6237.4000000000005"/>
  </r>
  <r>
    <s v="P1395"/>
    <x v="6"/>
    <n v="90"/>
    <n v="29"/>
    <x v="3"/>
    <n v="42292"/>
    <s v="Sufficient"/>
    <n v="3806280"/>
    <n v="8458.4"/>
  </r>
  <r>
    <s v="P1396"/>
    <x v="4"/>
    <n v="139"/>
    <n v="19"/>
    <x v="3"/>
    <n v="22209"/>
    <s v="Sufficient"/>
    <n v="3087051"/>
    <n v="4441.8"/>
  </r>
  <r>
    <s v="P1397"/>
    <x v="2"/>
    <n v="148"/>
    <n v="36"/>
    <x v="0"/>
    <n v="15569"/>
    <s v="Sufficient"/>
    <n v="2304212"/>
    <n v="3113.8"/>
  </r>
  <r>
    <s v="P1398"/>
    <x v="0"/>
    <n v="69"/>
    <n v="16"/>
    <x v="4"/>
    <n v="32386"/>
    <s v="Sufficient"/>
    <n v="2234634"/>
    <n v="6477.2000000000007"/>
  </r>
  <r>
    <s v="P1399"/>
    <x v="3"/>
    <n v="107"/>
    <n v="28"/>
    <x v="3"/>
    <n v="53496"/>
    <s v="Sufficient"/>
    <n v="5724072"/>
    <n v="10699.2"/>
  </r>
  <r>
    <s v="P1400"/>
    <x v="4"/>
    <n v="91"/>
    <n v="37"/>
    <x v="2"/>
    <n v="71882"/>
    <s v="Sufficient"/>
    <n v="6541262"/>
    <n v="14376.400000000001"/>
  </r>
  <r>
    <s v="P1401"/>
    <x v="5"/>
    <n v="3"/>
    <n v="35"/>
    <x v="4"/>
    <n v="39493"/>
    <s v="Low Stock"/>
    <n v="118479"/>
    <n v="7898.6"/>
  </r>
  <r>
    <s v="P1402"/>
    <x v="2"/>
    <n v="130"/>
    <n v="25"/>
    <x v="2"/>
    <n v="55558"/>
    <s v="Sufficient"/>
    <n v="7222540"/>
    <n v="11111.6"/>
  </r>
  <r>
    <s v="P1403"/>
    <x v="5"/>
    <n v="112"/>
    <n v="17"/>
    <x v="2"/>
    <n v="38774"/>
    <s v="Sufficient"/>
    <n v="4342688"/>
    <n v="7754.8"/>
  </r>
  <r>
    <s v="P1404"/>
    <x v="4"/>
    <n v="74"/>
    <n v="13"/>
    <x v="2"/>
    <n v="67960"/>
    <s v="Sufficient"/>
    <n v="5029040"/>
    <n v="13592"/>
  </r>
  <r>
    <s v="P1405"/>
    <x v="7"/>
    <n v="139"/>
    <n v="33"/>
    <x v="2"/>
    <n v="19153"/>
    <s v="Sufficient"/>
    <n v="2662267"/>
    <n v="3830.6000000000004"/>
  </r>
  <r>
    <s v="P1406"/>
    <x v="4"/>
    <n v="129"/>
    <n v="46"/>
    <x v="2"/>
    <n v="4147"/>
    <s v="Sufficient"/>
    <n v="534963"/>
    <n v="829.40000000000009"/>
  </r>
  <r>
    <s v="P1407"/>
    <x v="0"/>
    <n v="41"/>
    <n v="42"/>
    <x v="3"/>
    <n v="28121"/>
    <s v="Low Stock"/>
    <n v="1152961"/>
    <n v="5624.2000000000007"/>
  </r>
  <r>
    <s v="P1408"/>
    <x v="3"/>
    <n v="54"/>
    <n v="16"/>
    <x v="2"/>
    <n v="58459"/>
    <s v="Sufficient"/>
    <n v="3156786"/>
    <n v="11691.800000000001"/>
  </r>
  <r>
    <s v="P1409"/>
    <x v="4"/>
    <n v="98"/>
    <n v="37"/>
    <x v="2"/>
    <n v="63862"/>
    <s v="Sufficient"/>
    <n v="6258476"/>
    <n v="12772.400000000001"/>
  </r>
  <r>
    <s v="P1410"/>
    <x v="7"/>
    <n v="120"/>
    <n v="14"/>
    <x v="1"/>
    <n v="6620"/>
    <s v="Sufficient"/>
    <n v="794400"/>
    <n v="1324"/>
  </r>
  <r>
    <s v="P1411"/>
    <x v="0"/>
    <n v="26"/>
    <n v="23"/>
    <x v="2"/>
    <n v="53731"/>
    <s v="Sufficient"/>
    <n v="1397006"/>
    <n v="10746.2"/>
  </r>
  <r>
    <s v="P1412"/>
    <x v="5"/>
    <n v="14"/>
    <n v="33"/>
    <x v="1"/>
    <n v="41917"/>
    <s v="Low Stock"/>
    <n v="586838"/>
    <n v="8383.4"/>
  </r>
  <r>
    <s v="P1413"/>
    <x v="6"/>
    <n v="37"/>
    <n v="20"/>
    <x v="2"/>
    <n v="15706"/>
    <s v="Sufficient"/>
    <n v="581122"/>
    <n v="3141.2000000000003"/>
  </r>
  <r>
    <s v="P1414"/>
    <x v="7"/>
    <n v="138"/>
    <n v="44"/>
    <x v="2"/>
    <n v="52286"/>
    <s v="Sufficient"/>
    <n v="7215468"/>
    <n v="10457.200000000001"/>
  </r>
  <r>
    <s v="P1415"/>
    <x v="5"/>
    <n v="104"/>
    <n v="10"/>
    <x v="0"/>
    <n v="19444"/>
    <s v="Sufficient"/>
    <n v="2022176"/>
    <n v="3888.8"/>
  </r>
  <r>
    <s v="P1416"/>
    <x v="4"/>
    <n v="23"/>
    <n v="29"/>
    <x v="3"/>
    <n v="9397"/>
    <s v="Low Stock"/>
    <n v="216131"/>
    <n v="1879.4"/>
  </r>
  <r>
    <s v="P1417"/>
    <x v="5"/>
    <n v="99"/>
    <n v="38"/>
    <x v="0"/>
    <n v="19617"/>
    <s v="Sufficient"/>
    <n v="1942083"/>
    <n v="3923.4"/>
  </r>
  <r>
    <s v="P1418"/>
    <x v="7"/>
    <n v="181"/>
    <n v="22"/>
    <x v="4"/>
    <n v="20972"/>
    <s v="Sufficient"/>
    <n v="3795932"/>
    <n v="4194.4000000000005"/>
  </r>
  <r>
    <s v="P1419"/>
    <x v="7"/>
    <n v="110"/>
    <n v="43"/>
    <x v="2"/>
    <n v="10079"/>
    <s v="Sufficient"/>
    <n v="1108690"/>
    <n v="2015.8000000000002"/>
  </r>
  <r>
    <s v="P1420"/>
    <x v="1"/>
    <n v="159"/>
    <n v="20"/>
    <x v="4"/>
    <n v="8964"/>
    <s v="Sufficient"/>
    <n v="1425276"/>
    <n v="1792.8000000000002"/>
  </r>
  <r>
    <s v="P1421"/>
    <x v="0"/>
    <n v="20"/>
    <n v="14"/>
    <x v="4"/>
    <n v="77900"/>
    <s v="Sufficient"/>
    <n v="1558000"/>
    <n v="15580"/>
  </r>
  <r>
    <s v="P1422"/>
    <x v="2"/>
    <n v="155"/>
    <n v="21"/>
    <x v="1"/>
    <n v="25879"/>
    <s v="Sufficient"/>
    <n v="4011245"/>
    <n v="5175.8"/>
  </r>
  <r>
    <s v="P1423"/>
    <x v="6"/>
    <n v="200"/>
    <n v="13"/>
    <x v="3"/>
    <n v="50793"/>
    <s v="Sufficient"/>
    <n v="10158600"/>
    <n v="10158.6"/>
  </r>
  <r>
    <s v="P1424"/>
    <x v="5"/>
    <n v="76"/>
    <n v="46"/>
    <x v="4"/>
    <n v="16870"/>
    <s v="Sufficient"/>
    <n v="1282120"/>
    <n v="3374"/>
  </r>
  <r>
    <s v="P1425"/>
    <x v="2"/>
    <n v="151"/>
    <n v="10"/>
    <x v="1"/>
    <n v="2775"/>
    <s v="Sufficient"/>
    <n v="419025"/>
    <n v="555"/>
  </r>
  <r>
    <s v="P1426"/>
    <x v="1"/>
    <n v="21"/>
    <n v="18"/>
    <x v="1"/>
    <n v="65025"/>
    <s v="Sufficient"/>
    <n v="1365525"/>
    <n v="13005"/>
  </r>
  <r>
    <s v="P1427"/>
    <x v="5"/>
    <n v="166"/>
    <n v="43"/>
    <x v="4"/>
    <n v="57263"/>
    <s v="Sufficient"/>
    <n v="9505658"/>
    <n v="11452.6"/>
  </r>
  <r>
    <s v="P1428"/>
    <x v="4"/>
    <n v="71"/>
    <n v="45"/>
    <x v="1"/>
    <n v="64727"/>
    <s v="Sufficient"/>
    <n v="4595617"/>
    <n v="12945.400000000001"/>
  </r>
  <r>
    <s v="P1429"/>
    <x v="1"/>
    <n v="50"/>
    <n v="37"/>
    <x v="0"/>
    <n v="4207"/>
    <s v="Sufficient"/>
    <n v="210350"/>
    <n v="841.40000000000009"/>
  </r>
  <r>
    <s v="P1430"/>
    <x v="2"/>
    <n v="110"/>
    <n v="44"/>
    <x v="4"/>
    <n v="34268"/>
    <s v="Sufficient"/>
    <n v="3769480"/>
    <n v="6853.6"/>
  </r>
  <r>
    <s v="P1431"/>
    <x v="3"/>
    <n v="9"/>
    <n v="17"/>
    <x v="2"/>
    <n v="17527"/>
    <s v="Low Stock"/>
    <n v="157743"/>
    <n v="3505.4"/>
  </r>
  <r>
    <s v="P1432"/>
    <x v="0"/>
    <n v="107"/>
    <n v="50"/>
    <x v="2"/>
    <n v="6693"/>
    <s v="Sufficient"/>
    <n v="716151"/>
    <n v="1338.6000000000001"/>
  </r>
  <r>
    <s v="P1433"/>
    <x v="4"/>
    <n v="9"/>
    <n v="10"/>
    <x v="2"/>
    <n v="35805"/>
    <s v="Low Stock"/>
    <n v="322245"/>
    <n v="7161"/>
  </r>
  <r>
    <s v="P1434"/>
    <x v="1"/>
    <n v="37"/>
    <n v="45"/>
    <x v="3"/>
    <n v="24496"/>
    <s v="Low Stock"/>
    <n v="906352"/>
    <n v="4899.2"/>
  </r>
  <r>
    <s v="P1435"/>
    <x v="0"/>
    <n v="82"/>
    <n v="42"/>
    <x v="4"/>
    <n v="77960"/>
    <s v="Sufficient"/>
    <n v="6392720"/>
    <n v="15592"/>
  </r>
  <r>
    <s v="P1436"/>
    <x v="0"/>
    <n v="117"/>
    <n v="48"/>
    <x v="0"/>
    <n v="58266"/>
    <s v="Sufficient"/>
    <n v="6817122"/>
    <n v="11653.2"/>
  </r>
  <r>
    <s v="P1437"/>
    <x v="7"/>
    <n v="169"/>
    <n v="18"/>
    <x v="3"/>
    <n v="32334"/>
    <s v="Sufficient"/>
    <n v="5464446"/>
    <n v="6466.8"/>
  </r>
  <r>
    <s v="P1438"/>
    <x v="0"/>
    <n v="67"/>
    <n v="37"/>
    <x v="3"/>
    <n v="27868"/>
    <s v="Sufficient"/>
    <n v="1867156"/>
    <n v="5573.6"/>
  </r>
  <r>
    <s v="P1439"/>
    <x v="0"/>
    <n v="0"/>
    <n v="20"/>
    <x v="1"/>
    <n v="30332"/>
    <s v="Pending"/>
    <n v="0"/>
    <n v="6066.4000000000005"/>
  </r>
  <r>
    <s v="P1440"/>
    <x v="0"/>
    <n v="94"/>
    <n v="40"/>
    <x v="0"/>
    <n v="30644"/>
    <s v="Sufficient"/>
    <n v="2880536"/>
    <n v="6128.8"/>
  </r>
  <r>
    <s v="P1441"/>
    <x v="2"/>
    <n v="21"/>
    <n v="47"/>
    <x v="0"/>
    <n v="32291"/>
    <s v="Low Stock"/>
    <n v="678111"/>
    <n v="6458.2000000000007"/>
  </r>
  <r>
    <s v="P1442"/>
    <x v="4"/>
    <n v="148"/>
    <n v="34"/>
    <x v="1"/>
    <n v="9209"/>
    <s v="Sufficient"/>
    <n v="1362932"/>
    <n v="1841.8000000000002"/>
  </r>
  <r>
    <s v="P1443"/>
    <x v="1"/>
    <n v="113"/>
    <n v="45"/>
    <x v="2"/>
    <n v="71915"/>
    <s v="Sufficient"/>
    <n v="8126395"/>
    <n v="14383"/>
  </r>
  <r>
    <s v="P1444"/>
    <x v="4"/>
    <n v="125"/>
    <n v="20"/>
    <x v="3"/>
    <n v="16302"/>
    <s v="Sufficient"/>
    <n v="2037750"/>
    <n v="3260.4"/>
  </r>
  <r>
    <s v="P1445"/>
    <x v="0"/>
    <n v="156"/>
    <n v="24"/>
    <x v="2"/>
    <n v="46891"/>
    <s v="Sufficient"/>
    <n v="7314996"/>
    <n v="9378.2000000000007"/>
  </r>
  <r>
    <s v="P1446"/>
    <x v="6"/>
    <n v="52"/>
    <n v="27"/>
    <x v="3"/>
    <n v="71507"/>
    <s v="Sufficient"/>
    <n v="3718364"/>
    <n v="14301.400000000001"/>
  </r>
  <r>
    <s v="P1447"/>
    <x v="1"/>
    <n v="188"/>
    <n v="32"/>
    <x v="1"/>
    <n v="37159"/>
    <s v="Sufficient"/>
    <n v="6985892"/>
    <n v="7431.8"/>
  </r>
  <r>
    <s v="P1448"/>
    <x v="2"/>
    <n v="95"/>
    <n v="36"/>
    <x v="2"/>
    <n v="16199"/>
    <s v="Sufficient"/>
    <n v="1538905"/>
    <n v="3239.8"/>
  </r>
  <r>
    <s v="P1449"/>
    <x v="7"/>
    <n v="10"/>
    <n v="42"/>
    <x v="2"/>
    <n v="40488"/>
    <s v="Low Stock"/>
    <n v="404880"/>
    <n v="8097.6"/>
  </r>
  <r>
    <s v="P1450"/>
    <x v="7"/>
    <n v="23"/>
    <n v="30"/>
    <x v="1"/>
    <n v="48319"/>
    <s v="Low Stock"/>
    <n v="1111337"/>
    <n v="9663.8000000000011"/>
  </r>
  <r>
    <s v="P1451"/>
    <x v="1"/>
    <n v="163"/>
    <n v="15"/>
    <x v="4"/>
    <n v="10262"/>
    <s v="Sufficient"/>
    <n v="1672706"/>
    <n v="2052.4"/>
  </r>
  <r>
    <s v="P1452"/>
    <x v="0"/>
    <n v="187"/>
    <n v="38"/>
    <x v="4"/>
    <n v="71241"/>
    <s v="Sufficient"/>
    <n v="13322067"/>
    <n v="14248.2"/>
  </r>
  <r>
    <s v="P1453"/>
    <x v="0"/>
    <n v="125"/>
    <n v="38"/>
    <x v="3"/>
    <n v="73729"/>
    <s v="Sufficient"/>
    <n v="9216125"/>
    <n v="14745.800000000001"/>
  </r>
  <r>
    <s v="P1454"/>
    <x v="4"/>
    <n v="149"/>
    <n v="18"/>
    <x v="3"/>
    <n v="62688"/>
    <s v="Sufficient"/>
    <n v="9340512"/>
    <n v="12537.6"/>
  </r>
  <r>
    <s v="P1455"/>
    <x v="2"/>
    <n v="117"/>
    <n v="36"/>
    <x v="1"/>
    <n v="49719"/>
    <s v="Sufficient"/>
    <n v="5817123"/>
    <n v="9943.8000000000011"/>
  </r>
  <r>
    <s v="P1456"/>
    <x v="6"/>
    <n v="161"/>
    <n v="40"/>
    <x v="3"/>
    <n v="24794"/>
    <s v="Sufficient"/>
    <n v="3991834"/>
    <n v="4958.8"/>
  </r>
  <r>
    <s v="P1457"/>
    <x v="0"/>
    <n v="39"/>
    <n v="26"/>
    <x v="4"/>
    <n v="34501"/>
    <s v="Sufficient"/>
    <n v="1345539"/>
    <n v="6900.2000000000007"/>
  </r>
  <r>
    <s v="P1458"/>
    <x v="2"/>
    <n v="193"/>
    <n v="17"/>
    <x v="1"/>
    <n v="28104"/>
    <s v="Sufficient"/>
    <n v="5424072"/>
    <n v="5620.8"/>
  </r>
  <r>
    <s v="P1459"/>
    <x v="4"/>
    <n v="32"/>
    <n v="34"/>
    <x v="4"/>
    <n v="65211"/>
    <s v="Low Stock"/>
    <n v="2086752"/>
    <n v="13042.2"/>
  </r>
  <r>
    <s v="P1460"/>
    <x v="0"/>
    <n v="183"/>
    <n v="10"/>
    <x v="0"/>
    <n v="55555"/>
    <s v="Sufficient"/>
    <n v="10166565"/>
    <n v="11111"/>
  </r>
  <r>
    <s v="P1461"/>
    <x v="6"/>
    <n v="4"/>
    <n v="20"/>
    <x v="1"/>
    <n v="1921"/>
    <s v="Low Stock"/>
    <n v="7684"/>
    <n v="384.20000000000005"/>
  </r>
  <r>
    <s v="P1462"/>
    <x v="2"/>
    <n v="45"/>
    <n v="29"/>
    <x v="0"/>
    <n v="61635"/>
    <s v="Sufficient"/>
    <n v="2773575"/>
    <n v="12327"/>
  </r>
  <r>
    <s v="P1463"/>
    <x v="3"/>
    <n v="177"/>
    <n v="35"/>
    <x v="2"/>
    <n v="53523"/>
    <s v="Sufficient"/>
    <n v="9473571"/>
    <n v="10704.6"/>
  </r>
  <r>
    <s v="P1464"/>
    <x v="3"/>
    <n v="11"/>
    <n v="46"/>
    <x v="0"/>
    <n v="67448"/>
    <s v="Low Stock"/>
    <n v="741928"/>
    <n v="13489.6"/>
  </r>
  <r>
    <s v="P1465"/>
    <x v="4"/>
    <n v="105"/>
    <n v="49"/>
    <x v="0"/>
    <n v="60803"/>
    <s v="Sufficient"/>
    <n v="6384315"/>
    <n v="12160.6"/>
  </r>
  <r>
    <s v="P1466"/>
    <x v="3"/>
    <n v="43"/>
    <n v="40"/>
    <x v="2"/>
    <n v="20148"/>
    <s v="Sufficient"/>
    <n v="866364"/>
    <n v="4029.6000000000004"/>
  </r>
  <r>
    <s v="P1467"/>
    <x v="6"/>
    <n v="125"/>
    <n v="29"/>
    <x v="4"/>
    <n v="17893"/>
    <s v="Sufficient"/>
    <n v="2236625"/>
    <n v="3578.6000000000004"/>
  </r>
  <r>
    <s v="P1468"/>
    <x v="5"/>
    <n v="67"/>
    <n v="40"/>
    <x v="1"/>
    <n v="51575"/>
    <s v="Sufficient"/>
    <n v="3455525"/>
    <n v="10315"/>
  </r>
  <r>
    <s v="P1469"/>
    <x v="5"/>
    <n v="131"/>
    <n v="36"/>
    <x v="2"/>
    <n v="53193"/>
    <s v="Sufficient"/>
    <n v="6968283"/>
    <n v="10638.6"/>
  </r>
  <r>
    <s v="P1470"/>
    <x v="1"/>
    <n v="162"/>
    <n v="48"/>
    <x v="3"/>
    <n v="43917"/>
    <s v="Sufficient"/>
    <n v="7114554"/>
    <n v="8783.4"/>
  </r>
  <r>
    <s v="P1471"/>
    <x v="5"/>
    <n v="66"/>
    <n v="15"/>
    <x v="3"/>
    <n v="3373"/>
    <s v="Sufficient"/>
    <n v="222618"/>
    <n v="674.6"/>
  </r>
  <r>
    <s v="P1472"/>
    <x v="5"/>
    <n v="63"/>
    <n v="10"/>
    <x v="0"/>
    <n v="38884"/>
    <s v="Sufficient"/>
    <n v="2449692"/>
    <n v="7776.8"/>
  </r>
  <r>
    <s v="P1473"/>
    <x v="4"/>
    <n v="67"/>
    <n v="44"/>
    <x v="1"/>
    <n v="77957"/>
    <s v="Sufficient"/>
    <n v="5223119"/>
    <n v="15591.400000000001"/>
  </r>
  <r>
    <s v="P1474"/>
    <x v="3"/>
    <n v="110"/>
    <n v="18"/>
    <x v="2"/>
    <n v="75498"/>
    <s v="Sufficient"/>
    <n v="8304780"/>
    <n v="15099.6"/>
  </r>
  <r>
    <s v="P1475"/>
    <x v="1"/>
    <n v="174"/>
    <n v="27"/>
    <x v="2"/>
    <n v="50218"/>
    <s v="Sufficient"/>
    <n v="8737932"/>
    <n v="10043.6"/>
  </r>
  <r>
    <s v="P1476"/>
    <x v="1"/>
    <n v="58"/>
    <n v="20"/>
    <x v="1"/>
    <n v="51012"/>
    <s v="Sufficient"/>
    <n v="2958696"/>
    <n v="10202.400000000001"/>
  </r>
  <r>
    <s v="P1477"/>
    <x v="0"/>
    <n v="119"/>
    <n v="48"/>
    <x v="1"/>
    <n v="18643"/>
    <s v="Sufficient"/>
    <n v="2218517"/>
    <n v="3728.6000000000004"/>
  </r>
  <r>
    <s v="P1478"/>
    <x v="7"/>
    <n v="117"/>
    <n v="26"/>
    <x v="4"/>
    <n v="35716"/>
    <s v="Sufficient"/>
    <n v="4178772"/>
    <n v="7143.2000000000007"/>
  </r>
  <r>
    <s v="P1479"/>
    <x v="6"/>
    <n v="137"/>
    <n v="13"/>
    <x v="3"/>
    <n v="74962"/>
    <s v="Sufficient"/>
    <n v="10269794"/>
    <n v="14992.400000000001"/>
  </r>
  <r>
    <s v="P1480"/>
    <x v="1"/>
    <n v="40"/>
    <n v="28"/>
    <x v="4"/>
    <n v="37070"/>
    <s v="Sufficient"/>
    <n v="1482800"/>
    <n v="7414"/>
  </r>
  <r>
    <s v="P1481"/>
    <x v="1"/>
    <n v="179"/>
    <n v="22"/>
    <x v="1"/>
    <n v="70039"/>
    <s v="Sufficient"/>
    <n v="12536981"/>
    <n v="14007.800000000001"/>
  </r>
  <r>
    <s v="P1482"/>
    <x v="1"/>
    <n v="77"/>
    <n v="12"/>
    <x v="0"/>
    <n v="4479"/>
    <s v="Sufficient"/>
    <n v="344883"/>
    <n v="895.80000000000007"/>
  </r>
  <r>
    <s v="P1483"/>
    <x v="3"/>
    <n v="119"/>
    <n v="24"/>
    <x v="1"/>
    <n v="22216"/>
    <s v="Sufficient"/>
    <n v="2643704"/>
    <n v="4443.2"/>
  </r>
  <r>
    <s v="P1484"/>
    <x v="4"/>
    <n v="80"/>
    <n v="47"/>
    <x v="1"/>
    <n v="56992"/>
    <s v="Sufficient"/>
    <n v="4559360"/>
    <n v="11398.400000000001"/>
  </r>
  <r>
    <s v="P1485"/>
    <x v="3"/>
    <n v="78"/>
    <n v="40"/>
    <x v="1"/>
    <n v="16272"/>
    <s v="Sufficient"/>
    <n v="1269216"/>
    <n v="3254.4"/>
  </r>
  <r>
    <s v="P1486"/>
    <x v="2"/>
    <n v="106"/>
    <n v="47"/>
    <x v="3"/>
    <n v="26040"/>
    <s v="Sufficient"/>
    <n v="2760240"/>
    <n v="5208"/>
  </r>
  <r>
    <s v="P1487"/>
    <x v="1"/>
    <n v="16"/>
    <n v="47"/>
    <x v="1"/>
    <n v="41834"/>
    <s v="Low Stock"/>
    <n v="669344"/>
    <n v="8366.8000000000011"/>
  </r>
  <r>
    <s v="P1488"/>
    <x v="7"/>
    <n v="104"/>
    <n v="17"/>
    <x v="2"/>
    <n v="72489"/>
    <s v="Sufficient"/>
    <n v="7538856"/>
    <n v="14497.800000000001"/>
  </r>
  <r>
    <s v="P1489"/>
    <x v="5"/>
    <n v="65"/>
    <n v="11"/>
    <x v="1"/>
    <n v="67061"/>
    <s v="Sufficient"/>
    <n v="4358965"/>
    <n v="13412.2"/>
  </r>
  <r>
    <s v="P1490"/>
    <x v="5"/>
    <n v="177"/>
    <n v="44"/>
    <x v="3"/>
    <n v="71534"/>
    <s v="Sufficient"/>
    <n v="12661518"/>
    <n v="14306.800000000001"/>
  </r>
  <r>
    <s v="P1491"/>
    <x v="6"/>
    <n v="36"/>
    <n v="35"/>
    <x v="3"/>
    <n v="61203"/>
    <s v="Sufficient"/>
    <n v="2203308"/>
    <n v="12240.6"/>
  </r>
  <r>
    <s v="P1492"/>
    <x v="0"/>
    <n v="156"/>
    <n v="44"/>
    <x v="1"/>
    <n v="60611"/>
    <s v="Sufficient"/>
    <n v="9455316"/>
    <n v="12122.2"/>
  </r>
  <r>
    <s v="P1493"/>
    <x v="0"/>
    <n v="15"/>
    <n v="26"/>
    <x v="4"/>
    <n v="2803"/>
    <s v="Low Stock"/>
    <n v="42045"/>
    <n v="560.6"/>
  </r>
  <r>
    <s v="P1494"/>
    <x v="3"/>
    <n v="184"/>
    <n v="36"/>
    <x v="2"/>
    <n v="48366"/>
    <s v="Sufficient"/>
    <n v="8899344"/>
    <n v="9673.2000000000007"/>
  </r>
  <r>
    <s v="P1495"/>
    <x v="3"/>
    <n v="75"/>
    <n v="24"/>
    <x v="4"/>
    <n v="78537"/>
    <s v="Sufficient"/>
    <n v="5890275"/>
    <n v="15707.400000000001"/>
  </r>
  <r>
    <s v="P1496"/>
    <x v="7"/>
    <n v="63"/>
    <n v="37"/>
    <x v="4"/>
    <n v="73461"/>
    <s v="Sufficient"/>
    <n v="4628043"/>
    <n v="14692.2"/>
  </r>
  <r>
    <s v="P1497"/>
    <x v="1"/>
    <n v="196"/>
    <n v="11"/>
    <x v="1"/>
    <n v="6606"/>
    <s v="Sufficient"/>
    <n v="1294776"/>
    <n v="1321.2"/>
  </r>
  <r>
    <s v="P1498"/>
    <x v="7"/>
    <n v="169"/>
    <n v="21"/>
    <x v="1"/>
    <n v="71964"/>
    <s v="Sufficient"/>
    <n v="12161916"/>
    <n v="14392.800000000001"/>
  </r>
  <r>
    <s v="P1499"/>
    <x v="7"/>
    <n v="40"/>
    <n v="49"/>
    <x v="2"/>
    <n v="52587"/>
    <s v="Low Stock"/>
    <n v="2103480"/>
    <n v="10517.400000000001"/>
  </r>
  <r>
    <s v="P1500"/>
    <x v="7"/>
    <n v="198"/>
    <n v="34"/>
    <x v="2"/>
    <n v="47402"/>
    <s v="Sufficient"/>
    <n v="9385596"/>
    <n v="9480.4"/>
  </r>
  <r>
    <s v="P1501"/>
    <x v="1"/>
    <n v="34"/>
    <n v="36"/>
    <x v="4"/>
    <n v="54501"/>
    <s v="Low Stock"/>
    <n v="1853034"/>
    <n v="10900.2"/>
  </r>
  <r>
    <s v="P1502"/>
    <x v="6"/>
    <n v="69"/>
    <n v="11"/>
    <x v="2"/>
    <n v="40510"/>
    <s v="Sufficient"/>
    <n v="2795190"/>
    <n v="8102"/>
  </r>
  <r>
    <s v="P1503"/>
    <x v="6"/>
    <n v="102"/>
    <n v="38"/>
    <x v="4"/>
    <n v="64054"/>
    <s v="Sufficient"/>
    <n v="6533508"/>
    <n v="12810.800000000001"/>
  </r>
  <r>
    <s v="P1504"/>
    <x v="2"/>
    <n v="190"/>
    <n v="36"/>
    <x v="0"/>
    <n v="68978"/>
    <s v="Sufficient"/>
    <n v="13105820"/>
    <n v="13795.6"/>
  </r>
  <r>
    <s v="P1505"/>
    <x v="5"/>
    <n v="82"/>
    <n v="25"/>
    <x v="3"/>
    <n v="55592"/>
    <s v="Sufficient"/>
    <n v="4558544"/>
    <n v="11118.400000000001"/>
  </r>
  <r>
    <s v="P1506"/>
    <x v="0"/>
    <n v="45"/>
    <n v="32"/>
    <x v="1"/>
    <n v="66489"/>
    <s v="Sufficient"/>
    <n v="2992005"/>
    <n v="13297.800000000001"/>
  </r>
  <r>
    <s v="P1507"/>
    <x v="5"/>
    <n v="67"/>
    <n v="48"/>
    <x v="3"/>
    <n v="50605"/>
    <s v="Sufficient"/>
    <n v="3390535"/>
    <n v="10121"/>
  </r>
  <r>
    <s v="P1508"/>
    <x v="5"/>
    <n v="26"/>
    <n v="11"/>
    <x v="2"/>
    <n v="30168"/>
    <s v="Sufficient"/>
    <n v="784368"/>
    <n v="6033.6"/>
  </r>
  <r>
    <s v="P1509"/>
    <x v="4"/>
    <n v="92"/>
    <n v="30"/>
    <x v="3"/>
    <n v="23853"/>
    <s v="Sufficient"/>
    <n v="2194476"/>
    <n v="4770.6000000000004"/>
  </r>
  <r>
    <s v="P1510"/>
    <x v="0"/>
    <n v="144"/>
    <n v="49"/>
    <x v="0"/>
    <n v="41961"/>
    <s v="Sufficient"/>
    <n v="6042384"/>
    <n v="8392.2000000000007"/>
  </r>
  <r>
    <s v="P1511"/>
    <x v="1"/>
    <n v="91"/>
    <n v="34"/>
    <x v="1"/>
    <n v="14244"/>
    <s v="Sufficient"/>
    <n v="1296204"/>
    <n v="2848.8"/>
  </r>
  <r>
    <s v="P1512"/>
    <x v="3"/>
    <n v="52"/>
    <n v="24"/>
    <x v="4"/>
    <n v="33508"/>
    <s v="Sufficient"/>
    <n v="1742416"/>
    <n v="6701.6"/>
  </r>
  <r>
    <s v="P1513"/>
    <x v="1"/>
    <n v="54"/>
    <n v="14"/>
    <x v="1"/>
    <n v="73431"/>
    <s v="Sufficient"/>
    <n v="3965274"/>
    <n v="14686.2"/>
  </r>
  <r>
    <s v="P1514"/>
    <x v="0"/>
    <n v="52"/>
    <n v="29"/>
    <x v="2"/>
    <n v="51540"/>
    <s v="Sufficient"/>
    <n v="2680080"/>
    <n v="10308"/>
  </r>
  <r>
    <s v="P1515"/>
    <x v="6"/>
    <n v="77"/>
    <n v="28"/>
    <x v="3"/>
    <n v="14149"/>
    <s v="Sufficient"/>
    <n v="1089473"/>
    <n v="2829.8"/>
  </r>
  <r>
    <s v="P1516"/>
    <x v="3"/>
    <n v="54"/>
    <n v="34"/>
    <x v="2"/>
    <n v="15342"/>
    <s v="Sufficient"/>
    <n v="828468"/>
    <n v="3068.4"/>
  </r>
  <r>
    <s v="P1517"/>
    <x v="1"/>
    <n v="133"/>
    <n v="26"/>
    <x v="0"/>
    <n v="44214"/>
    <s v="Sufficient"/>
    <n v="5880462"/>
    <n v="8842.8000000000011"/>
  </r>
  <r>
    <s v="P1518"/>
    <x v="6"/>
    <n v="162"/>
    <n v="23"/>
    <x v="3"/>
    <n v="45025"/>
    <s v="Sufficient"/>
    <n v="7294050"/>
    <n v="9005"/>
  </r>
  <r>
    <s v="P1519"/>
    <x v="5"/>
    <n v="105"/>
    <n v="30"/>
    <x v="0"/>
    <n v="46321"/>
    <s v="Sufficient"/>
    <n v="4863705"/>
    <n v="9264.2000000000007"/>
  </r>
  <r>
    <s v="P1520"/>
    <x v="4"/>
    <n v="194"/>
    <n v="23"/>
    <x v="1"/>
    <n v="24504"/>
    <s v="Sufficient"/>
    <n v="4753776"/>
    <n v="4900.8"/>
  </r>
  <r>
    <s v="P1521"/>
    <x v="6"/>
    <n v="53"/>
    <n v="39"/>
    <x v="2"/>
    <n v="21131"/>
    <s v="Sufficient"/>
    <n v="1119943"/>
    <n v="4226.2"/>
  </r>
  <r>
    <s v="P1522"/>
    <x v="1"/>
    <n v="24"/>
    <n v="30"/>
    <x v="2"/>
    <n v="70443"/>
    <s v="Low Stock"/>
    <n v="1690632"/>
    <n v="14088.6"/>
  </r>
  <r>
    <s v="P1523"/>
    <x v="7"/>
    <n v="104"/>
    <n v="47"/>
    <x v="4"/>
    <n v="13770"/>
    <s v="Sufficient"/>
    <n v="1432080"/>
    <n v="2754"/>
  </r>
  <r>
    <s v="P1524"/>
    <x v="1"/>
    <n v="99"/>
    <n v="12"/>
    <x v="1"/>
    <n v="55308"/>
    <s v="Sufficient"/>
    <n v="5475492"/>
    <n v="11061.6"/>
  </r>
  <r>
    <s v="P1525"/>
    <x v="1"/>
    <n v="47"/>
    <n v="14"/>
    <x v="4"/>
    <n v="40708"/>
    <s v="Sufficient"/>
    <n v="1913276"/>
    <n v="8141.6"/>
  </r>
  <r>
    <s v="P1526"/>
    <x v="0"/>
    <n v="36"/>
    <n v="10"/>
    <x v="4"/>
    <n v="9903"/>
    <s v="Sufficient"/>
    <n v="356508"/>
    <n v="1980.6000000000001"/>
  </r>
  <r>
    <s v="P1527"/>
    <x v="5"/>
    <n v="123"/>
    <n v="34"/>
    <x v="2"/>
    <n v="10877"/>
    <s v="Sufficient"/>
    <n v="1337871"/>
    <n v="2175.4"/>
  </r>
  <r>
    <s v="P1528"/>
    <x v="0"/>
    <n v="46"/>
    <n v="19"/>
    <x v="1"/>
    <n v="36730"/>
    <s v="Sufficient"/>
    <n v="1689580"/>
    <n v="7346"/>
  </r>
  <r>
    <s v="P1529"/>
    <x v="4"/>
    <n v="158"/>
    <n v="48"/>
    <x v="1"/>
    <n v="7154"/>
    <s v="Sufficient"/>
    <n v="1130332"/>
    <n v="1430.8000000000002"/>
  </r>
  <r>
    <s v="P1530"/>
    <x v="2"/>
    <n v="190"/>
    <n v="35"/>
    <x v="4"/>
    <n v="76185"/>
    <s v="Sufficient"/>
    <n v="14475150"/>
    <n v="15237"/>
  </r>
  <r>
    <s v="P1531"/>
    <x v="1"/>
    <n v="72"/>
    <n v="20"/>
    <x v="1"/>
    <n v="19856"/>
    <s v="Sufficient"/>
    <n v="1429632"/>
    <n v="3971.2000000000003"/>
  </r>
  <r>
    <s v="P1532"/>
    <x v="5"/>
    <n v="135"/>
    <n v="22"/>
    <x v="4"/>
    <n v="2810"/>
    <s v="Sufficient"/>
    <n v="379350"/>
    <n v="562"/>
  </r>
  <r>
    <s v="P1533"/>
    <x v="1"/>
    <n v="112"/>
    <n v="42"/>
    <x v="1"/>
    <n v="43336"/>
    <s v="Sufficient"/>
    <n v="4853632"/>
    <n v="8667.2000000000007"/>
  </r>
  <r>
    <s v="P1534"/>
    <x v="2"/>
    <n v="20"/>
    <n v="43"/>
    <x v="4"/>
    <n v="6154"/>
    <s v="Low Stock"/>
    <n v="123080"/>
    <n v="1230.8000000000002"/>
  </r>
  <r>
    <s v="P1535"/>
    <x v="1"/>
    <n v="69"/>
    <n v="40"/>
    <x v="2"/>
    <n v="59309"/>
    <s v="Sufficient"/>
    <n v="4092321"/>
    <n v="11861.800000000001"/>
  </r>
  <r>
    <s v="P1536"/>
    <x v="6"/>
    <n v="196"/>
    <n v="24"/>
    <x v="1"/>
    <n v="16189"/>
    <s v="Sufficient"/>
    <n v="3173044"/>
    <n v="3237.8"/>
  </r>
  <r>
    <s v="P1537"/>
    <x v="0"/>
    <n v="199"/>
    <n v="13"/>
    <x v="0"/>
    <n v="6633"/>
    <s v="Sufficient"/>
    <n v="1319967"/>
    <n v="1326.6000000000001"/>
  </r>
  <r>
    <s v="P1538"/>
    <x v="7"/>
    <n v="104"/>
    <n v="36"/>
    <x v="4"/>
    <n v="58977"/>
    <s v="Sufficient"/>
    <n v="6133608"/>
    <n v="11795.400000000001"/>
  </r>
  <r>
    <s v="P1539"/>
    <x v="6"/>
    <n v="114"/>
    <n v="47"/>
    <x v="4"/>
    <n v="10288"/>
    <s v="Sufficient"/>
    <n v="1172832"/>
    <n v="2057.6"/>
  </r>
  <r>
    <s v="P1540"/>
    <x v="7"/>
    <n v="97"/>
    <n v="27"/>
    <x v="1"/>
    <n v="5968"/>
    <s v="Sufficient"/>
    <n v="578896"/>
    <n v="1193.6000000000001"/>
  </r>
  <r>
    <s v="P1541"/>
    <x v="2"/>
    <n v="10"/>
    <n v="12"/>
    <x v="2"/>
    <n v="65838"/>
    <s v="Low Stock"/>
    <n v="658380"/>
    <n v="13167.6"/>
  </r>
  <r>
    <s v="P1542"/>
    <x v="2"/>
    <n v="98"/>
    <n v="11"/>
    <x v="3"/>
    <n v="65745"/>
    <s v="Sufficient"/>
    <n v="6443010"/>
    <n v="13149"/>
  </r>
  <r>
    <s v="P1543"/>
    <x v="0"/>
    <n v="170"/>
    <n v="32"/>
    <x v="1"/>
    <n v="45618"/>
    <s v="Sufficient"/>
    <n v="7755060"/>
    <n v="9123.6"/>
  </r>
  <r>
    <s v="P1544"/>
    <x v="0"/>
    <n v="34"/>
    <n v="29"/>
    <x v="3"/>
    <n v="24218"/>
    <s v="Sufficient"/>
    <n v="823412"/>
    <n v="4843.6000000000004"/>
  </r>
  <r>
    <s v="P1545"/>
    <x v="7"/>
    <n v="70"/>
    <n v="14"/>
    <x v="4"/>
    <n v="35812"/>
    <s v="Sufficient"/>
    <n v="2506840"/>
    <n v="7162.4000000000005"/>
  </r>
  <r>
    <s v="P1546"/>
    <x v="5"/>
    <n v="44"/>
    <n v="35"/>
    <x v="0"/>
    <n v="8162"/>
    <s v="Sufficient"/>
    <n v="359128"/>
    <n v="1632.4"/>
  </r>
  <r>
    <s v="P1547"/>
    <x v="5"/>
    <n v="119"/>
    <n v="40"/>
    <x v="2"/>
    <n v="1168"/>
    <s v="Sufficient"/>
    <n v="138992"/>
    <n v="233.60000000000002"/>
  </r>
  <r>
    <s v="P1548"/>
    <x v="4"/>
    <n v="93"/>
    <n v="27"/>
    <x v="3"/>
    <n v="9656"/>
    <s v="Sufficient"/>
    <n v="898008"/>
    <n v="1931.2"/>
  </r>
  <r>
    <s v="P1549"/>
    <x v="3"/>
    <n v="39"/>
    <n v="19"/>
    <x v="3"/>
    <n v="29325"/>
    <s v="Sufficient"/>
    <n v="1143675"/>
    <n v="5865"/>
  </r>
  <r>
    <s v="P1550"/>
    <x v="3"/>
    <n v="35"/>
    <n v="32"/>
    <x v="0"/>
    <n v="20213"/>
    <s v="Sufficient"/>
    <n v="707455"/>
    <n v="4042.6000000000004"/>
  </r>
  <r>
    <s v="P1551"/>
    <x v="1"/>
    <n v="106"/>
    <n v="36"/>
    <x v="0"/>
    <n v="76756"/>
    <s v="Sufficient"/>
    <n v="8136136"/>
    <n v="15351.2"/>
  </r>
  <r>
    <s v="P1552"/>
    <x v="6"/>
    <n v="26"/>
    <n v="16"/>
    <x v="3"/>
    <n v="27489"/>
    <s v="Sufficient"/>
    <n v="714714"/>
    <n v="5497.8"/>
  </r>
  <r>
    <s v="P1553"/>
    <x v="7"/>
    <n v="127"/>
    <n v="25"/>
    <x v="0"/>
    <n v="20218"/>
    <s v="Sufficient"/>
    <n v="2567686"/>
    <n v="4043.6000000000004"/>
  </r>
  <r>
    <s v="P1554"/>
    <x v="2"/>
    <n v="47"/>
    <n v="17"/>
    <x v="2"/>
    <n v="42031"/>
    <s v="Sufficient"/>
    <n v="1975457"/>
    <n v="8406.2000000000007"/>
  </r>
  <r>
    <s v="P1555"/>
    <x v="2"/>
    <n v="107"/>
    <n v="46"/>
    <x v="4"/>
    <n v="75012"/>
    <s v="Sufficient"/>
    <n v="8026284"/>
    <n v="15002.400000000001"/>
  </r>
  <r>
    <s v="P1556"/>
    <x v="4"/>
    <n v="49"/>
    <n v="45"/>
    <x v="0"/>
    <n v="50506"/>
    <s v="Sufficient"/>
    <n v="2474794"/>
    <n v="10101.200000000001"/>
  </r>
  <r>
    <s v="P1557"/>
    <x v="1"/>
    <n v="199"/>
    <n v="50"/>
    <x v="4"/>
    <n v="9720"/>
    <s v="Sufficient"/>
    <n v="1934280"/>
    <n v="1944"/>
  </r>
  <r>
    <s v="P1558"/>
    <x v="0"/>
    <n v="118"/>
    <n v="18"/>
    <x v="3"/>
    <n v="61912"/>
    <s v="Sufficient"/>
    <n v="7305616"/>
    <n v="12382.400000000001"/>
  </r>
  <r>
    <s v="P1559"/>
    <x v="1"/>
    <n v="98"/>
    <n v="28"/>
    <x v="2"/>
    <n v="52256"/>
    <s v="Sufficient"/>
    <n v="5121088"/>
    <n v="10451.200000000001"/>
  </r>
  <r>
    <s v="P1560"/>
    <x v="0"/>
    <n v="98"/>
    <n v="16"/>
    <x v="4"/>
    <n v="56075"/>
    <s v="Sufficient"/>
    <n v="5495350"/>
    <n v="11215"/>
  </r>
  <r>
    <s v="P1561"/>
    <x v="5"/>
    <n v="197"/>
    <n v="19"/>
    <x v="0"/>
    <n v="36420"/>
    <s v="Sufficient"/>
    <n v="7174740"/>
    <n v="7284"/>
  </r>
  <r>
    <s v="P1562"/>
    <x v="1"/>
    <n v="186"/>
    <n v="29"/>
    <x v="4"/>
    <n v="62053"/>
    <s v="Sufficient"/>
    <n v="11541858"/>
    <n v="12410.6"/>
  </r>
  <r>
    <s v="P1563"/>
    <x v="7"/>
    <n v="159"/>
    <n v="35"/>
    <x v="1"/>
    <n v="70654"/>
    <s v="Sufficient"/>
    <n v="11233986"/>
    <n v="14130.800000000001"/>
  </r>
  <r>
    <s v="P1564"/>
    <x v="6"/>
    <n v="13"/>
    <n v="10"/>
    <x v="0"/>
    <n v="40377"/>
    <s v="Sufficient"/>
    <n v="524901"/>
    <n v="8075.4000000000005"/>
  </r>
  <r>
    <s v="P1565"/>
    <x v="7"/>
    <n v="150"/>
    <n v="15"/>
    <x v="1"/>
    <n v="5533"/>
    <s v="Sufficient"/>
    <n v="829950"/>
    <n v="1106.6000000000001"/>
  </r>
  <r>
    <s v="P1566"/>
    <x v="5"/>
    <n v="180"/>
    <n v="44"/>
    <x v="1"/>
    <n v="77843"/>
    <s v="Sufficient"/>
    <n v="14011740"/>
    <n v="15568.6"/>
  </r>
  <r>
    <s v="P1567"/>
    <x v="6"/>
    <n v="56"/>
    <n v="41"/>
    <x v="1"/>
    <n v="64062"/>
    <s v="Sufficient"/>
    <n v="3587472"/>
    <n v="12812.400000000001"/>
  </r>
  <r>
    <s v="P1568"/>
    <x v="0"/>
    <n v="95"/>
    <n v="47"/>
    <x v="0"/>
    <n v="78049"/>
    <s v="Sufficient"/>
    <n v="7414655"/>
    <n v="15609.800000000001"/>
  </r>
  <r>
    <s v="P1569"/>
    <x v="3"/>
    <n v="26"/>
    <n v="26"/>
    <x v="1"/>
    <n v="49680"/>
    <s v="Low Stock"/>
    <n v="1291680"/>
    <n v="9936"/>
  </r>
  <r>
    <s v="P1570"/>
    <x v="7"/>
    <n v="171"/>
    <n v="18"/>
    <x v="0"/>
    <n v="49849"/>
    <s v="Sufficient"/>
    <n v="8524179"/>
    <n v="9969.8000000000011"/>
  </r>
  <r>
    <s v="P1571"/>
    <x v="7"/>
    <n v="151"/>
    <n v="24"/>
    <x v="3"/>
    <n v="38362"/>
    <s v="Sufficient"/>
    <n v="5792662"/>
    <n v="7672.4000000000005"/>
  </r>
  <r>
    <s v="P1572"/>
    <x v="3"/>
    <n v="16"/>
    <n v="35"/>
    <x v="1"/>
    <n v="78134"/>
    <s v="Low Stock"/>
    <n v="1250144"/>
    <n v="15626.800000000001"/>
  </r>
  <r>
    <s v="P1573"/>
    <x v="6"/>
    <n v="158"/>
    <n v="48"/>
    <x v="4"/>
    <n v="8732"/>
    <s v="Sufficient"/>
    <n v="1379656"/>
    <n v="1746.4"/>
  </r>
  <r>
    <s v="P1574"/>
    <x v="6"/>
    <n v="33"/>
    <n v="47"/>
    <x v="2"/>
    <n v="50107"/>
    <s v="Low Stock"/>
    <n v="1653531"/>
    <n v="10021.400000000001"/>
  </r>
  <r>
    <s v="P1575"/>
    <x v="6"/>
    <n v="198"/>
    <n v="44"/>
    <x v="4"/>
    <n v="32533"/>
    <s v="Sufficient"/>
    <n v="6441534"/>
    <n v="6506.6"/>
  </r>
  <r>
    <s v="P1576"/>
    <x v="7"/>
    <n v="111"/>
    <n v="34"/>
    <x v="1"/>
    <n v="37427"/>
    <s v="Sufficient"/>
    <n v="4154397"/>
    <n v="7485.4000000000005"/>
  </r>
  <r>
    <s v="P1577"/>
    <x v="4"/>
    <n v="29"/>
    <n v="16"/>
    <x v="1"/>
    <n v="36632"/>
    <s v="Sufficient"/>
    <n v="1062328"/>
    <n v="7326.4000000000005"/>
  </r>
  <r>
    <s v="P1578"/>
    <x v="7"/>
    <n v="154"/>
    <n v="48"/>
    <x v="0"/>
    <n v="35206"/>
    <s v="Sufficient"/>
    <n v="5421724"/>
    <n v="7041.2000000000007"/>
  </r>
  <r>
    <s v="P1579"/>
    <x v="5"/>
    <n v="95"/>
    <n v="39"/>
    <x v="2"/>
    <n v="49680"/>
    <s v="Sufficient"/>
    <n v="4719600"/>
    <n v="9936"/>
  </r>
  <r>
    <s v="P1580"/>
    <x v="6"/>
    <n v="66"/>
    <n v="16"/>
    <x v="1"/>
    <n v="74110"/>
    <s v="Sufficient"/>
    <n v="4891260"/>
    <n v="14822"/>
  </r>
  <r>
    <s v="P1581"/>
    <x v="1"/>
    <n v="170"/>
    <n v="37"/>
    <x v="0"/>
    <n v="47372"/>
    <s v="Sufficient"/>
    <n v="8053240"/>
    <n v="9474.4"/>
  </r>
  <r>
    <s v="P1582"/>
    <x v="4"/>
    <n v="89"/>
    <n v="11"/>
    <x v="0"/>
    <n v="45083"/>
    <s v="Sufficient"/>
    <n v="4012387"/>
    <n v="9016.6"/>
  </r>
  <r>
    <s v="P1583"/>
    <x v="1"/>
    <n v="42"/>
    <n v="11"/>
    <x v="1"/>
    <n v="47898"/>
    <s v="Sufficient"/>
    <n v="2011716"/>
    <n v="9579.6"/>
  </r>
  <r>
    <s v="P1584"/>
    <x v="0"/>
    <n v="66"/>
    <n v="40"/>
    <x v="1"/>
    <n v="52325"/>
    <s v="Sufficient"/>
    <n v="3453450"/>
    <n v="10465"/>
  </r>
  <r>
    <s v="P1585"/>
    <x v="7"/>
    <n v="156"/>
    <n v="17"/>
    <x v="2"/>
    <n v="35442"/>
    <s v="Sufficient"/>
    <n v="5528952"/>
    <n v="7088.4000000000005"/>
  </r>
  <r>
    <s v="P1586"/>
    <x v="6"/>
    <n v="61"/>
    <n v="50"/>
    <x v="1"/>
    <n v="27944"/>
    <s v="Sufficient"/>
    <n v="1704584"/>
    <n v="5588.8"/>
  </r>
  <r>
    <s v="P1587"/>
    <x v="4"/>
    <n v="177"/>
    <n v="32"/>
    <x v="0"/>
    <n v="78833"/>
    <s v="Sufficient"/>
    <n v="13953441"/>
    <n v="15766.6"/>
  </r>
  <r>
    <s v="P1588"/>
    <x v="7"/>
    <n v="52"/>
    <n v="25"/>
    <x v="4"/>
    <n v="27227"/>
    <s v="Sufficient"/>
    <n v="1415804"/>
    <n v="5445.4000000000005"/>
  </r>
  <r>
    <s v="P1589"/>
    <x v="4"/>
    <n v="109"/>
    <n v="23"/>
    <x v="2"/>
    <n v="28627"/>
    <s v="Sufficient"/>
    <n v="3120343"/>
    <n v="5725.4000000000005"/>
  </r>
  <r>
    <s v="P1590"/>
    <x v="6"/>
    <n v="113"/>
    <n v="21"/>
    <x v="3"/>
    <n v="1006"/>
    <s v="Sufficient"/>
    <n v="113678"/>
    <n v="201.20000000000002"/>
  </r>
  <r>
    <s v="P1591"/>
    <x v="0"/>
    <n v="35"/>
    <n v="26"/>
    <x v="0"/>
    <n v="76551"/>
    <s v="Sufficient"/>
    <n v="2679285"/>
    <n v="15310.2"/>
  </r>
  <r>
    <s v="P1592"/>
    <x v="7"/>
    <n v="174"/>
    <n v="31"/>
    <x v="3"/>
    <n v="5670"/>
    <s v="Sufficient"/>
    <n v="986580"/>
    <n v="1134"/>
  </r>
  <r>
    <s v="P1593"/>
    <x v="1"/>
    <n v="1"/>
    <n v="17"/>
    <x v="3"/>
    <n v="69514"/>
    <s v="Low Stock"/>
    <n v="69514"/>
    <n v="13902.800000000001"/>
  </r>
  <r>
    <s v="P1594"/>
    <x v="0"/>
    <n v="54"/>
    <n v="43"/>
    <x v="4"/>
    <n v="2452"/>
    <s v="Sufficient"/>
    <n v="132408"/>
    <n v="490.40000000000003"/>
  </r>
  <r>
    <s v="P1595"/>
    <x v="7"/>
    <n v="116"/>
    <n v="18"/>
    <x v="3"/>
    <n v="50923"/>
    <s v="Sufficient"/>
    <n v="5907068"/>
    <n v="10184.6"/>
  </r>
  <r>
    <s v="P1596"/>
    <x v="4"/>
    <n v="56"/>
    <n v="22"/>
    <x v="4"/>
    <n v="52825"/>
    <s v="Sufficient"/>
    <n v="2958200"/>
    <n v="10565"/>
  </r>
  <r>
    <s v="P1597"/>
    <x v="6"/>
    <n v="3"/>
    <n v="22"/>
    <x v="2"/>
    <n v="37851"/>
    <s v="Low Stock"/>
    <n v="113553"/>
    <n v="7570.2000000000007"/>
  </r>
  <r>
    <s v="P1598"/>
    <x v="3"/>
    <n v="146"/>
    <n v="50"/>
    <x v="3"/>
    <n v="77175"/>
    <s v="Sufficient"/>
    <n v="11267550"/>
    <n v="15435"/>
  </r>
  <r>
    <s v="P1599"/>
    <x v="4"/>
    <n v="1"/>
    <n v="47"/>
    <x v="1"/>
    <n v="67158"/>
    <s v="Low Stock"/>
    <n v="67158"/>
    <n v="13431.6"/>
  </r>
  <r>
    <s v="P1600"/>
    <x v="2"/>
    <n v="190"/>
    <n v="34"/>
    <x v="1"/>
    <n v="51126"/>
    <s v="Sufficient"/>
    <n v="9713940"/>
    <n v="10225.200000000001"/>
  </r>
  <r>
    <s v="P1601"/>
    <x v="7"/>
    <n v="166"/>
    <n v="42"/>
    <x v="0"/>
    <n v="13657"/>
    <s v="Sufficient"/>
    <n v="2267062"/>
    <n v="2731.4"/>
  </r>
  <r>
    <s v="P1602"/>
    <x v="6"/>
    <n v="149"/>
    <n v="49"/>
    <x v="2"/>
    <n v="10794"/>
    <s v="Sufficient"/>
    <n v="1608306"/>
    <n v="2158.8000000000002"/>
  </r>
  <r>
    <s v="P1603"/>
    <x v="4"/>
    <n v="136"/>
    <n v="17"/>
    <x v="2"/>
    <n v="10762"/>
    <s v="Sufficient"/>
    <n v="1463632"/>
    <n v="2152.4"/>
  </r>
  <r>
    <s v="P1604"/>
    <x v="7"/>
    <n v="175"/>
    <n v="33"/>
    <x v="1"/>
    <n v="12827"/>
    <s v="Sufficient"/>
    <n v="2244725"/>
    <n v="2565.4"/>
  </r>
  <r>
    <s v="P1605"/>
    <x v="1"/>
    <n v="27"/>
    <n v="21"/>
    <x v="4"/>
    <n v="31337"/>
    <s v="Sufficient"/>
    <n v="846099"/>
    <n v="6267.4000000000005"/>
  </r>
  <r>
    <s v="P1606"/>
    <x v="7"/>
    <n v="156"/>
    <n v="10"/>
    <x v="1"/>
    <n v="55630"/>
    <s v="Sufficient"/>
    <n v="8678280"/>
    <n v="11126"/>
  </r>
  <r>
    <s v="P1607"/>
    <x v="6"/>
    <n v="127"/>
    <n v="29"/>
    <x v="0"/>
    <n v="79716"/>
    <s v="Sufficient"/>
    <n v="10123932"/>
    <n v="15943.2"/>
  </r>
  <r>
    <s v="P1608"/>
    <x v="7"/>
    <n v="130"/>
    <n v="40"/>
    <x v="2"/>
    <n v="3437"/>
    <s v="Sufficient"/>
    <n v="446810"/>
    <n v="687.40000000000009"/>
  </r>
  <r>
    <s v="P1609"/>
    <x v="7"/>
    <n v="157"/>
    <n v="38"/>
    <x v="0"/>
    <n v="77051"/>
    <s v="Sufficient"/>
    <n v="12097007"/>
    <n v="15410.2"/>
  </r>
  <r>
    <s v="P1610"/>
    <x v="1"/>
    <n v="164"/>
    <n v="13"/>
    <x v="1"/>
    <n v="66076"/>
    <s v="Sufficient"/>
    <n v="10836464"/>
    <n v="13215.2"/>
  </r>
  <r>
    <s v="P1611"/>
    <x v="2"/>
    <n v="62"/>
    <n v="24"/>
    <x v="2"/>
    <n v="22462"/>
    <s v="Sufficient"/>
    <n v="1392644"/>
    <n v="4492.4000000000005"/>
  </r>
  <r>
    <s v="P1612"/>
    <x v="0"/>
    <n v="39"/>
    <n v="10"/>
    <x v="0"/>
    <n v="55630"/>
    <s v="Sufficient"/>
    <n v="2169570"/>
    <n v="11126"/>
  </r>
  <r>
    <s v="P1613"/>
    <x v="5"/>
    <n v="184"/>
    <n v="15"/>
    <x v="2"/>
    <n v="2045"/>
    <s v="Sufficient"/>
    <n v="376280"/>
    <n v="409"/>
  </r>
  <r>
    <s v="P1614"/>
    <x v="6"/>
    <n v="133"/>
    <n v="11"/>
    <x v="3"/>
    <n v="18830"/>
    <s v="Sufficient"/>
    <n v="2504390"/>
    <n v="3766"/>
  </r>
  <r>
    <s v="P1615"/>
    <x v="5"/>
    <n v="135"/>
    <n v="34"/>
    <x v="3"/>
    <n v="64212"/>
    <s v="Sufficient"/>
    <n v="8668620"/>
    <n v="12842.400000000001"/>
  </r>
  <r>
    <s v="P1616"/>
    <x v="2"/>
    <n v="58"/>
    <n v="21"/>
    <x v="2"/>
    <n v="33918"/>
    <s v="Sufficient"/>
    <n v="1967244"/>
    <n v="6783.6"/>
  </r>
  <r>
    <s v="P1617"/>
    <x v="7"/>
    <n v="56"/>
    <n v="42"/>
    <x v="4"/>
    <n v="78303"/>
    <s v="Sufficient"/>
    <n v="4384968"/>
    <n v="15660.6"/>
  </r>
  <r>
    <s v="P1618"/>
    <x v="3"/>
    <n v="70"/>
    <n v="47"/>
    <x v="2"/>
    <n v="79176"/>
    <s v="Sufficient"/>
    <n v="5542320"/>
    <n v="15835.2"/>
  </r>
  <r>
    <s v="P1619"/>
    <x v="2"/>
    <n v="28"/>
    <n v="10"/>
    <x v="1"/>
    <n v="25471"/>
    <s v="Sufficient"/>
    <n v="713188"/>
    <n v="5094.2000000000007"/>
  </r>
  <r>
    <s v="P1620"/>
    <x v="4"/>
    <n v="48"/>
    <n v="24"/>
    <x v="0"/>
    <n v="31745"/>
    <s v="Sufficient"/>
    <n v="1523760"/>
    <n v="6349"/>
  </r>
  <r>
    <s v="P1621"/>
    <x v="3"/>
    <n v="120"/>
    <n v="38"/>
    <x v="2"/>
    <n v="49140"/>
    <s v="Sufficient"/>
    <n v="5896800"/>
    <n v="9828"/>
  </r>
  <r>
    <s v="P1622"/>
    <x v="0"/>
    <n v="68"/>
    <n v="21"/>
    <x v="1"/>
    <n v="53661"/>
    <s v="Sufficient"/>
    <n v="3648948"/>
    <n v="10732.2"/>
  </r>
  <r>
    <s v="P1623"/>
    <x v="2"/>
    <n v="125"/>
    <n v="49"/>
    <x v="2"/>
    <n v="75830"/>
    <s v="Sufficient"/>
    <n v="9478750"/>
    <n v="15166"/>
  </r>
  <r>
    <s v="P1624"/>
    <x v="7"/>
    <n v="68"/>
    <n v="20"/>
    <x v="2"/>
    <n v="34681"/>
    <s v="Sufficient"/>
    <n v="2358308"/>
    <n v="6936.2000000000007"/>
  </r>
  <r>
    <s v="P1625"/>
    <x v="1"/>
    <n v="31"/>
    <n v="41"/>
    <x v="0"/>
    <n v="15974"/>
    <s v="Low Stock"/>
    <n v="495194"/>
    <n v="3194.8"/>
  </r>
  <r>
    <s v="P1626"/>
    <x v="0"/>
    <n v="139"/>
    <n v="18"/>
    <x v="4"/>
    <n v="69126"/>
    <s v="Sufficient"/>
    <n v="9608514"/>
    <n v="13825.2"/>
  </r>
  <r>
    <s v="P1627"/>
    <x v="1"/>
    <n v="75"/>
    <n v="44"/>
    <x v="0"/>
    <n v="53348"/>
    <s v="Sufficient"/>
    <n v="4001100"/>
    <n v="10669.6"/>
  </r>
  <r>
    <s v="P1628"/>
    <x v="5"/>
    <n v="118"/>
    <n v="40"/>
    <x v="3"/>
    <n v="52431"/>
    <s v="Sufficient"/>
    <n v="6186858"/>
    <n v="10486.2"/>
  </r>
  <r>
    <s v="P1629"/>
    <x v="0"/>
    <n v="15"/>
    <n v="23"/>
    <x v="3"/>
    <n v="14167"/>
    <s v="Low Stock"/>
    <n v="212505"/>
    <n v="2833.4"/>
  </r>
  <r>
    <s v="P1630"/>
    <x v="1"/>
    <n v="69"/>
    <n v="18"/>
    <x v="0"/>
    <n v="57343"/>
    <s v="Sufficient"/>
    <n v="3956667"/>
    <n v="11468.6"/>
  </r>
  <r>
    <s v="P1631"/>
    <x v="3"/>
    <n v="183"/>
    <n v="14"/>
    <x v="1"/>
    <n v="72312"/>
    <s v="Sufficient"/>
    <n v="13233096"/>
    <n v="14462.400000000001"/>
  </r>
  <r>
    <s v="P1632"/>
    <x v="0"/>
    <n v="187"/>
    <n v="16"/>
    <x v="2"/>
    <n v="16808"/>
    <s v="Sufficient"/>
    <n v="3143096"/>
    <n v="3361.6000000000004"/>
  </r>
  <r>
    <s v="P1633"/>
    <x v="6"/>
    <n v="186"/>
    <n v="10"/>
    <x v="4"/>
    <n v="56872"/>
    <s v="Sufficient"/>
    <n v="10578192"/>
    <n v="11374.400000000001"/>
  </r>
  <r>
    <s v="P1634"/>
    <x v="1"/>
    <n v="148"/>
    <n v="24"/>
    <x v="2"/>
    <n v="68089"/>
    <s v="Sufficient"/>
    <n v="10077172"/>
    <n v="13617.800000000001"/>
  </r>
  <r>
    <s v="P1635"/>
    <x v="0"/>
    <n v="171"/>
    <n v="20"/>
    <x v="4"/>
    <n v="9066"/>
    <s v="Sufficient"/>
    <n v="1550286"/>
    <n v="1813.2"/>
  </r>
  <r>
    <s v="P1636"/>
    <x v="1"/>
    <n v="181"/>
    <n v="26"/>
    <x v="0"/>
    <n v="28695"/>
    <s v="Sufficient"/>
    <n v="5193795"/>
    <n v="5739"/>
  </r>
  <r>
    <s v="P1637"/>
    <x v="5"/>
    <n v="73"/>
    <n v="14"/>
    <x v="2"/>
    <n v="31318"/>
    <s v="Sufficient"/>
    <n v="2286214"/>
    <n v="6263.6"/>
  </r>
  <r>
    <s v="P1638"/>
    <x v="7"/>
    <n v="107"/>
    <n v="16"/>
    <x v="4"/>
    <n v="2126"/>
    <s v="Sufficient"/>
    <n v="227482"/>
    <n v="425.20000000000005"/>
  </r>
  <r>
    <s v="P1639"/>
    <x v="7"/>
    <n v="32"/>
    <n v="18"/>
    <x v="0"/>
    <n v="71343"/>
    <s v="Sufficient"/>
    <n v="2282976"/>
    <n v="14268.6"/>
  </r>
  <r>
    <s v="P1640"/>
    <x v="6"/>
    <n v="124"/>
    <n v="33"/>
    <x v="4"/>
    <n v="69165"/>
    <s v="Sufficient"/>
    <n v="8576460"/>
    <n v="13833"/>
  </r>
  <r>
    <s v="P1641"/>
    <x v="6"/>
    <n v="65"/>
    <n v="22"/>
    <x v="0"/>
    <n v="64760"/>
    <s v="Sufficient"/>
    <n v="4209400"/>
    <n v="12952"/>
  </r>
  <r>
    <s v="P1642"/>
    <x v="5"/>
    <n v="174"/>
    <n v="31"/>
    <x v="3"/>
    <n v="67822"/>
    <s v="Sufficient"/>
    <n v="11801028"/>
    <n v="13564.400000000001"/>
  </r>
  <r>
    <s v="P1643"/>
    <x v="5"/>
    <n v="93"/>
    <n v="22"/>
    <x v="4"/>
    <n v="18544"/>
    <s v="Sufficient"/>
    <n v="1724592"/>
    <n v="3708.8"/>
  </r>
  <r>
    <s v="P1644"/>
    <x v="2"/>
    <n v="170"/>
    <n v="26"/>
    <x v="0"/>
    <n v="37787"/>
    <s v="Sufficient"/>
    <n v="6423790"/>
    <n v="7557.4000000000005"/>
  </r>
  <r>
    <s v="P1645"/>
    <x v="1"/>
    <n v="106"/>
    <n v="30"/>
    <x v="3"/>
    <n v="1687"/>
    <s v="Sufficient"/>
    <n v="178822"/>
    <n v="337.40000000000003"/>
  </r>
  <r>
    <s v="P1646"/>
    <x v="5"/>
    <n v="183"/>
    <n v="30"/>
    <x v="2"/>
    <n v="10410"/>
    <s v="Sufficient"/>
    <n v="1905030"/>
    <n v="2082"/>
  </r>
  <r>
    <s v="P1647"/>
    <x v="1"/>
    <n v="161"/>
    <n v="42"/>
    <x v="0"/>
    <n v="21430"/>
    <s v="Sufficient"/>
    <n v="3450230"/>
    <n v="4286"/>
  </r>
  <r>
    <s v="P1648"/>
    <x v="5"/>
    <n v="64"/>
    <n v="30"/>
    <x v="3"/>
    <n v="56511"/>
    <s v="Sufficient"/>
    <n v="3616704"/>
    <n v="11302.2"/>
  </r>
  <r>
    <s v="P1649"/>
    <x v="6"/>
    <n v="134"/>
    <n v="45"/>
    <x v="0"/>
    <n v="68413"/>
    <s v="Sufficient"/>
    <n v="9167342"/>
    <n v="13682.6"/>
  </r>
  <r>
    <s v="P1650"/>
    <x v="6"/>
    <n v="58"/>
    <n v="20"/>
    <x v="2"/>
    <n v="59265"/>
    <s v="Sufficient"/>
    <n v="3437370"/>
    <n v="11853"/>
  </r>
  <r>
    <s v="P1651"/>
    <x v="2"/>
    <n v="10"/>
    <n v="43"/>
    <x v="0"/>
    <n v="12420"/>
    <s v="Low Stock"/>
    <n v="124200"/>
    <n v="2484"/>
  </r>
  <r>
    <s v="P1652"/>
    <x v="0"/>
    <n v="56"/>
    <n v="49"/>
    <x v="4"/>
    <n v="37633"/>
    <s v="Sufficient"/>
    <n v="2107448"/>
    <n v="7526.6"/>
  </r>
  <r>
    <s v="P1653"/>
    <x v="7"/>
    <n v="70"/>
    <n v="10"/>
    <x v="0"/>
    <n v="57393"/>
    <s v="Sufficient"/>
    <n v="4017510"/>
    <n v="11478.6"/>
  </r>
  <r>
    <s v="P1654"/>
    <x v="2"/>
    <n v="94"/>
    <n v="27"/>
    <x v="2"/>
    <n v="30191"/>
    <s v="Sufficient"/>
    <n v="2837954"/>
    <n v="6038.2000000000007"/>
  </r>
  <r>
    <s v="P1655"/>
    <x v="3"/>
    <n v="89"/>
    <n v="14"/>
    <x v="0"/>
    <n v="32664"/>
    <s v="Sufficient"/>
    <n v="2907096"/>
    <n v="6532.8"/>
  </r>
  <r>
    <s v="P1656"/>
    <x v="1"/>
    <n v="78"/>
    <n v="40"/>
    <x v="4"/>
    <n v="45712"/>
    <s v="Sufficient"/>
    <n v="3565536"/>
    <n v="9142.4"/>
  </r>
  <r>
    <s v="P1657"/>
    <x v="5"/>
    <n v="109"/>
    <n v="29"/>
    <x v="4"/>
    <n v="5057"/>
    <s v="Sufficient"/>
    <n v="551213"/>
    <n v="1011.4000000000001"/>
  </r>
  <r>
    <s v="P1658"/>
    <x v="3"/>
    <n v="166"/>
    <n v="28"/>
    <x v="2"/>
    <n v="78051"/>
    <s v="Sufficient"/>
    <n v="12956466"/>
    <n v="15610.2"/>
  </r>
  <r>
    <s v="P1659"/>
    <x v="2"/>
    <n v="17"/>
    <n v="14"/>
    <x v="1"/>
    <n v="33747"/>
    <s v="Sufficient"/>
    <n v="573699"/>
    <n v="6749.4000000000005"/>
  </r>
  <r>
    <s v="P1660"/>
    <x v="0"/>
    <n v="56"/>
    <n v="50"/>
    <x v="4"/>
    <n v="59790"/>
    <s v="Sufficient"/>
    <n v="3348240"/>
    <n v="11958"/>
  </r>
  <r>
    <s v="P1661"/>
    <x v="1"/>
    <n v="128"/>
    <n v="24"/>
    <x v="2"/>
    <n v="51525"/>
    <s v="Sufficient"/>
    <n v="6595200"/>
    <n v="10305"/>
  </r>
  <r>
    <s v="P1662"/>
    <x v="3"/>
    <n v="12"/>
    <n v="36"/>
    <x v="3"/>
    <n v="42636"/>
    <s v="Low Stock"/>
    <n v="511632"/>
    <n v="8527.2000000000007"/>
  </r>
  <r>
    <s v="P1663"/>
    <x v="0"/>
    <n v="61"/>
    <n v="38"/>
    <x v="0"/>
    <n v="1633"/>
    <s v="Sufficient"/>
    <n v="99613"/>
    <n v="326.60000000000002"/>
  </r>
  <r>
    <s v="P1664"/>
    <x v="1"/>
    <n v="79"/>
    <n v="17"/>
    <x v="1"/>
    <n v="20972"/>
    <s v="Sufficient"/>
    <n v="1656788"/>
    <n v="4194.4000000000005"/>
  </r>
  <r>
    <s v="P1665"/>
    <x v="2"/>
    <n v="191"/>
    <n v="20"/>
    <x v="2"/>
    <n v="60905"/>
    <s v="Sufficient"/>
    <n v="11632855"/>
    <n v="12181"/>
  </r>
  <r>
    <s v="P1666"/>
    <x v="5"/>
    <n v="73"/>
    <n v="47"/>
    <x v="1"/>
    <n v="58048"/>
    <s v="Sufficient"/>
    <n v="4237504"/>
    <n v="11609.6"/>
  </r>
  <r>
    <s v="P1667"/>
    <x v="1"/>
    <n v="110"/>
    <n v="39"/>
    <x v="4"/>
    <n v="37376"/>
    <s v="Sufficient"/>
    <n v="4111360"/>
    <n v="7475.2000000000007"/>
  </r>
  <r>
    <s v="P1668"/>
    <x v="6"/>
    <n v="97"/>
    <n v="44"/>
    <x v="2"/>
    <n v="56774"/>
    <s v="Sufficient"/>
    <n v="5507078"/>
    <n v="11354.800000000001"/>
  </r>
  <r>
    <s v="P1669"/>
    <x v="7"/>
    <n v="181"/>
    <n v="26"/>
    <x v="3"/>
    <n v="42501"/>
    <s v="Sufficient"/>
    <n v="7692681"/>
    <n v="8500.2000000000007"/>
  </r>
  <r>
    <s v="P1670"/>
    <x v="2"/>
    <n v="197"/>
    <n v="21"/>
    <x v="0"/>
    <n v="30820"/>
    <s v="Sufficient"/>
    <n v="6071540"/>
    <n v="6164"/>
  </r>
  <r>
    <s v="P1671"/>
    <x v="6"/>
    <n v="115"/>
    <n v="48"/>
    <x v="4"/>
    <n v="1855"/>
    <s v="Sufficient"/>
    <n v="213325"/>
    <n v="371"/>
  </r>
  <r>
    <s v="P1672"/>
    <x v="6"/>
    <n v="42"/>
    <n v="12"/>
    <x v="3"/>
    <n v="45532"/>
    <s v="Sufficient"/>
    <n v="1912344"/>
    <n v="9106.4"/>
  </r>
  <r>
    <s v="P1673"/>
    <x v="0"/>
    <n v="130"/>
    <n v="12"/>
    <x v="3"/>
    <n v="24599"/>
    <s v="Sufficient"/>
    <n v="3197870"/>
    <n v="4919.8"/>
  </r>
  <r>
    <s v="P1674"/>
    <x v="4"/>
    <n v="76"/>
    <n v="36"/>
    <x v="0"/>
    <n v="52899"/>
    <s v="Sufficient"/>
    <n v="4020324"/>
    <n v="10579.800000000001"/>
  </r>
  <r>
    <s v="P1675"/>
    <x v="4"/>
    <n v="144"/>
    <n v="41"/>
    <x v="4"/>
    <n v="25017"/>
    <s v="Sufficient"/>
    <n v="3602448"/>
    <n v="5003.4000000000005"/>
  </r>
  <r>
    <s v="P1676"/>
    <x v="3"/>
    <n v="145"/>
    <n v="13"/>
    <x v="2"/>
    <n v="35197"/>
    <s v="Sufficient"/>
    <n v="5103565"/>
    <n v="7039.4000000000005"/>
  </r>
  <r>
    <s v="P1677"/>
    <x v="4"/>
    <n v="142"/>
    <n v="20"/>
    <x v="0"/>
    <n v="25095"/>
    <s v="Sufficient"/>
    <n v="3563490"/>
    <n v="5019"/>
  </r>
  <r>
    <s v="P1678"/>
    <x v="6"/>
    <n v="67"/>
    <n v="34"/>
    <x v="1"/>
    <n v="54031"/>
    <s v="Sufficient"/>
    <n v="3620077"/>
    <n v="10806.2"/>
  </r>
  <r>
    <s v="P1679"/>
    <x v="6"/>
    <n v="25"/>
    <n v="50"/>
    <x v="1"/>
    <n v="18144"/>
    <s v="Low Stock"/>
    <n v="453600"/>
    <n v="3628.8"/>
  </r>
  <r>
    <s v="P1680"/>
    <x v="0"/>
    <n v="58"/>
    <n v="34"/>
    <x v="4"/>
    <n v="58152"/>
    <s v="Sufficient"/>
    <n v="3372816"/>
    <n v="11630.400000000001"/>
  </r>
  <r>
    <s v="P1681"/>
    <x v="6"/>
    <n v="65"/>
    <n v="33"/>
    <x v="0"/>
    <n v="45558"/>
    <s v="Sufficient"/>
    <n v="2961270"/>
    <n v="9111.6"/>
  </r>
  <r>
    <s v="P1682"/>
    <x v="2"/>
    <n v="63"/>
    <n v="45"/>
    <x v="0"/>
    <n v="8540"/>
    <s v="Sufficient"/>
    <n v="538020"/>
    <n v="1708"/>
  </r>
  <r>
    <s v="P1683"/>
    <x v="0"/>
    <n v="5"/>
    <n v="30"/>
    <x v="0"/>
    <n v="19817"/>
    <s v="Low Stock"/>
    <n v="99085"/>
    <n v="3963.4"/>
  </r>
  <r>
    <s v="P1684"/>
    <x v="4"/>
    <n v="7"/>
    <n v="46"/>
    <x v="2"/>
    <n v="58429"/>
    <s v="Low Stock"/>
    <n v="409003"/>
    <n v="11685.800000000001"/>
  </r>
  <r>
    <s v="P1685"/>
    <x v="3"/>
    <n v="127"/>
    <n v="50"/>
    <x v="0"/>
    <n v="66435"/>
    <s v="Sufficient"/>
    <n v="8437245"/>
    <n v="13287"/>
  </r>
  <r>
    <s v="P1686"/>
    <x v="4"/>
    <n v="162"/>
    <n v="10"/>
    <x v="0"/>
    <n v="49182"/>
    <s v="Sufficient"/>
    <n v="7967484"/>
    <n v="9836.4000000000015"/>
  </r>
  <r>
    <s v="P1687"/>
    <x v="3"/>
    <n v="60"/>
    <n v="12"/>
    <x v="1"/>
    <n v="29029"/>
    <s v="Sufficient"/>
    <n v="1741740"/>
    <n v="5805.8"/>
  </r>
  <r>
    <s v="P1688"/>
    <x v="1"/>
    <n v="145"/>
    <n v="43"/>
    <x v="3"/>
    <n v="48417"/>
    <s v="Sufficient"/>
    <n v="7020465"/>
    <n v="9683.4"/>
  </r>
  <r>
    <s v="P1689"/>
    <x v="7"/>
    <n v="194"/>
    <n v="22"/>
    <x v="1"/>
    <n v="20576"/>
    <s v="Sufficient"/>
    <n v="3991744"/>
    <n v="4115.2"/>
  </r>
  <r>
    <s v="P1690"/>
    <x v="5"/>
    <n v="131"/>
    <n v="44"/>
    <x v="0"/>
    <n v="38102"/>
    <s v="Sufficient"/>
    <n v="4991362"/>
    <n v="7620.4000000000005"/>
  </r>
  <r>
    <s v="P1691"/>
    <x v="7"/>
    <n v="143"/>
    <n v="21"/>
    <x v="4"/>
    <n v="7007"/>
    <s v="Sufficient"/>
    <n v="1002001"/>
    <n v="1401.4"/>
  </r>
  <r>
    <s v="P1692"/>
    <x v="7"/>
    <n v="144"/>
    <n v="48"/>
    <x v="0"/>
    <n v="56605"/>
    <s v="Sufficient"/>
    <n v="8151120"/>
    <n v="11321"/>
  </r>
  <r>
    <s v="P1693"/>
    <x v="5"/>
    <n v="89"/>
    <n v="41"/>
    <x v="1"/>
    <n v="72071"/>
    <s v="Sufficient"/>
    <n v="6414319"/>
    <n v="14414.2"/>
  </r>
  <r>
    <s v="P1694"/>
    <x v="7"/>
    <n v="72"/>
    <n v="23"/>
    <x v="0"/>
    <n v="75070"/>
    <s v="Sufficient"/>
    <n v="5405040"/>
    <n v="15014"/>
  </r>
  <r>
    <s v="P1695"/>
    <x v="4"/>
    <n v="196"/>
    <n v="50"/>
    <x v="4"/>
    <n v="38014"/>
    <s v="Sufficient"/>
    <n v="7450744"/>
    <n v="7602.8"/>
  </r>
  <r>
    <s v="P1696"/>
    <x v="3"/>
    <n v="23"/>
    <n v="45"/>
    <x v="3"/>
    <n v="69201"/>
    <s v="Low Stock"/>
    <n v="1591623"/>
    <n v="13840.2"/>
  </r>
  <r>
    <s v="P1697"/>
    <x v="2"/>
    <n v="93"/>
    <n v="31"/>
    <x v="0"/>
    <n v="24574"/>
    <s v="Sufficient"/>
    <n v="2285382"/>
    <n v="4914.8"/>
  </r>
  <r>
    <s v="P1698"/>
    <x v="0"/>
    <n v="110"/>
    <n v="20"/>
    <x v="4"/>
    <n v="32724"/>
    <s v="Sufficient"/>
    <n v="3599640"/>
    <n v="6544.8"/>
  </r>
  <r>
    <s v="P1699"/>
    <x v="7"/>
    <n v="190"/>
    <n v="17"/>
    <x v="2"/>
    <n v="3645"/>
    <s v="Sufficient"/>
    <n v="692550"/>
    <n v="729"/>
  </r>
  <r>
    <s v="P1700"/>
    <x v="4"/>
    <n v="24"/>
    <n v="23"/>
    <x v="0"/>
    <n v="79541"/>
    <s v="Sufficient"/>
    <n v="1908984"/>
    <n v="15908.2"/>
  </r>
  <r>
    <s v="P1701"/>
    <x v="2"/>
    <n v="151"/>
    <n v="24"/>
    <x v="2"/>
    <n v="6033"/>
    <s v="Sufficient"/>
    <n v="910983"/>
    <n v="1206.6000000000001"/>
  </r>
  <r>
    <s v="P1702"/>
    <x v="3"/>
    <n v="163"/>
    <n v="26"/>
    <x v="1"/>
    <n v="66593"/>
    <s v="Sufficient"/>
    <n v="10854659"/>
    <n v="13318.6"/>
  </r>
  <r>
    <s v="P1703"/>
    <x v="7"/>
    <n v="75"/>
    <n v="31"/>
    <x v="2"/>
    <n v="62231"/>
    <s v="Sufficient"/>
    <n v="4667325"/>
    <n v="12446.2"/>
  </r>
  <r>
    <s v="P1704"/>
    <x v="0"/>
    <n v="92"/>
    <n v="16"/>
    <x v="1"/>
    <n v="15045"/>
    <s v="Sufficient"/>
    <n v="1384140"/>
    <n v="3009"/>
  </r>
  <r>
    <s v="P1705"/>
    <x v="2"/>
    <n v="157"/>
    <n v="31"/>
    <x v="4"/>
    <n v="24940"/>
    <s v="Sufficient"/>
    <n v="3915580"/>
    <n v="4988"/>
  </r>
  <r>
    <s v="P1706"/>
    <x v="5"/>
    <n v="20"/>
    <n v="30"/>
    <x v="0"/>
    <n v="12048"/>
    <s v="Low Stock"/>
    <n v="240960"/>
    <n v="2409.6"/>
  </r>
  <r>
    <s v="P1707"/>
    <x v="3"/>
    <n v="68"/>
    <n v="10"/>
    <x v="2"/>
    <n v="22539"/>
    <s v="Sufficient"/>
    <n v="1532652"/>
    <n v="4507.8"/>
  </r>
  <r>
    <s v="P1708"/>
    <x v="5"/>
    <n v="24"/>
    <n v="40"/>
    <x v="3"/>
    <n v="16227"/>
    <s v="Low Stock"/>
    <n v="389448"/>
    <n v="3245.4"/>
  </r>
  <r>
    <s v="P1709"/>
    <x v="1"/>
    <n v="200"/>
    <n v="16"/>
    <x v="0"/>
    <n v="40264"/>
    <s v="Sufficient"/>
    <n v="8052800"/>
    <n v="8052.8"/>
  </r>
  <r>
    <s v="P1710"/>
    <x v="3"/>
    <n v="30"/>
    <n v="40"/>
    <x v="4"/>
    <n v="62322"/>
    <s v="Low Stock"/>
    <n v="1869660"/>
    <n v="12464.400000000001"/>
  </r>
  <r>
    <s v="P1711"/>
    <x v="7"/>
    <n v="160"/>
    <n v="33"/>
    <x v="2"/>
    <n v="11309"/>
    <s v="Sufficient"/>
    <n v="1809440"/>
    <n v="2261.8000000000002"/>
  </r>
  <r>
    <s v="P1712"/>
    <x v="2"/>
    <n v="82"/>
    <n v="50"/>
    <x v="1"/>
    <n v="54043"/>
    <s v="Sufficient"/>
    <n v="4431526"/>
    <n v="10808.6"/>
  </r>
  <r>
    <s v="P1713"/>
    <x v="6"/>
    <n v="132"/>
    <n v="37"/>
    <x v="3"/>
    <n v="27409"/>
    <s v="Sufficient"/>
    <n v="3617988"/>
    <n v="5481.8"/>
  </r>
  <r>
    <s v="P1714"/>
    <x v="0"/>
    <n v="55"/>
    <n v="31"/>
    <x v="2"/>
    <n v="11149"/>
    <s v="Sufficient"/>
    <n v="613195"/>
    <n v="2229.8000000000002"/>
  </r>
  <r>
    <s v="P1715"/>
    <x v="0"/>
    <n v="10"/>
    <n v="38"/>
    <x v="2"/>
    <n v="55287"/>
    <s v="Low Stock"/>
    <n v="552870"/>
    <n v="11057.400000000001"/>
  </r>
  <r>
    <s v="P1716"/>
    <x v="4"/>
    <n v="182"/>
    <n v="40"/>
    <x v="2"/>
    <n v="14976"/>
    <s v="Sufficient"/>
    <n v="2725632"/>
    <n v="2995.2000000000003"/>
  </r>
  <r>
    <s v="P1717"/>
    <x v="3"/>
    <n v="75"/>
    <n v="15"/>
    <x v="1"/>
    <n v="2166"/>
    <s v="Sufficient"/>
    <n v="162450"/>
    <n v="433.20000000000005"/>
  </r>
  <r>
    <s v="P1718"/>
    <x v="6"/>
    <n v="192"/>
    <n v="23"/>
    <x v="1"/>
    <n v="20788"/>
    <s v="Sufficient"/>
    <n v="3991296"/>
    <n v="4157.6000000000004"/>
  </r>
  <r>
    <s v="P1719"/>
    <x v="5"/>
    <n v="154"/>
    <n v="25"/>
    <x v="4"/>
    <n v="57283"/>
    <s v="Sufficient"/>
    <n v="8821582"/>
    <n v="11456.6"/>
  </r>
  <r>
    <s v="P1720"/>
    <x v="2"/>
    <n v="90"/>
    <n v="12"/>
    <x v="3"/>
    <n v="10306"/>
    <s v="Sufficient"/>
    <n v="927540"/>
    <n v="2061.2000000000003"/>
  </r>
  <r>
    <s v="P1721"/>
    <x v="5"/>
    <n v="188"/>
    <n v="21"/>
    <x v="0"/>
    <n v="15008"/>
    <s v="Sufficient"/>
    <n v="2821504"/>
    <n v="3001.6000000000004"/>
  </r>
  <r>
    <s v="P1722"/>
    <x v="6"/>
    <n v="141"/>
    <n v="32"/>
    <x v="1"/>
    <n v="37854"/>
    <s v="Sufficient"/>
    <n v="5337414"/>
    <n v="7570.8"/>
  </r>
  <r>
    <s v="P1723"/>
    <x v="4"/>
    <n v="76"/>
    <n v="44"/>
    <x v="0"/>
    <n v="9065"/>
    <s v="Sufficient"/>
    <n v="688940"/>
    <n v="1813"/>
  </r>
  <r>
    <s v="P1724"/>
    <x v="3"/>
    <n v="165"/>
    <n v="23"/>
    <x v="2"/>
    <n v="23683"/>
    <s v="Sufficient"/>
    <n v="3907695"/>
    <n v="4736.6000000000004"/>
  </r>
  <r>
    <s v="P1725"/>
    <x v="0"/>
    <n v="84"/>
    <n v="37"/>
    <x v="4"/>
    <n v="42777"/>
    <s v="Sufficient"/>
    <n v="3593268"/>
    <n v="8555.4"/>
  </r>
  <r>
    <s v="P1726"/>
    <x v="3"/>
    <n v="140"/>
    <n v="44"/>
    <x v="4"/>
    <n v="34915"/>
    <s v="Sufficient"/>
    <n v="4888100"/>
    <n v="6983"/>
  </r>
  <r>
    <s v="P1727"/>
    <x v="2"/>
    <n v="188"/>
    <n v="32"/>
    <x v="0"/>
    <n v="62987"/>
    <s v="Sufficient"/>
    <n v="11841556"/>
    <n v="12597.400000000001"/>
  </r>
  <r>
    <s v="P1728"/>
    <x v="4"/>
    <n v="123"/>
    <n v="46"/>
    <x v="0"/>
    <n v="24545"/>
    <s v="Sufficient"/>
    <n v="3019035"/>
    <n v="4909"/>
  </r>
  <r>
    <s v="P1729"/>
    <x v="5"/>
    <n v="36"/>
    <n v="24"/>
    <x v="2"/>
    <n v="12007"/>
    <s v="Sufficient"/>
    <n v="432252"/>
    <n v="2401.4"/>
  </r>
  <r>
    <s v="P1730"/>
    <x v="4"/>
    <n v="188"/>
    <n v="41"/>
    <x v="2"/>
    <n v="17403"/>
    <s v="Sufficient"/>
    <n v="3271764"/>
    <n v="3480.6000000000004"/>
  </r>
  <r>
    <s v="P1731"/>
    <x v="2"/>
    <n v="199"/>
    <n v="25"/>
    <x v="0"/>
    <n v="42604"/>
    <s v="Sufficient"/>
    <n v="8478196"/>
    <n v="8520.8000000000011"/>
  </r>
  <r>
    <s v="P1732"/>
    <x v="2"/>
    <n v="39"/>
    <n v="29"/>
    <x v="1"/>
    <n v="1217"/>
    <s v="Sufficient"/>
    <n v="47463"/>
    <n v="243.4"/>
  </r>
  <r>
    <s v="P1733"/>
    <x v="4"/>
    <n v="193"/>
    <n v="16"/>
    <x v="4"/>
    <n v="60667"/>
    <s v="Sufficient"/>
    <n v="11708731"/>
    <n v="12133.400000000001"/>
  </r>
  <r>
    <s v="P1734"/>
    <x v="4"/>
    <n v="10"/>
    <n v="21"/>
    <x v="4"/>
    <n v="67222"/>
    <s v="Low Stock"/>
    <n v="672220"/>
    <n v="13444.400000000001"/>
  </r>
  <r>
    <s v="P1735"/>
    <x v="6"/>
    <n v="152"/>
    <n v="18"/>
    <x v="0"/>
    <n v="71361"/>
    <s v="Sufficient"/>
    <n v="10846872"/>
    <n v="14272.2"/>
  </r>
  <r>
    <s v="P1736"/>
    <x v="4"/>
    <n v="37"/>
    <n v="35"/>
    <x v="2"/>
    <n v="50162"/>
    <s v="Sufficient"/>
    <n v="1855994"/>
    <n v="10032.400000000001"/>
  </r>
  <r>
    <s v="P1737"/>
    <x v="6"/>
    <n v="168"/>
    <n v="42"/>
    <x v="3"/>
    <n v="6486"/>
    <s v="Sufficient"/>
    <n v="1089648"/>
    <n v="1297.2"/>
  </r>
  <r>
    <s v="P1738"/>
    <x v="4"/>
    <n v="46"/>
    <n v="49"/>
    <x v="2"/>
    <n v="66354"/>
    <s v="Low Stock"/>
    <n v="3052284"/>
    <n v="13270.800000000001"/>
  </r>
  <r>
    <s v="P1739"/>
    <x v="4"/>
    <n v="41"/>
    <n v="50"/>
    <x v="2"/>
    <n v="69287"/>
    <s v="Low Stock"/>
    <n v="2840767"/>
    <n v="13857.400000000001"/>
  </r>
  <r>
    <s v="P1740"/>
    <x v="1"/>
    <n v="194"/>
    <n v="24"/>
    <x v="2"/>
    <n v="30111"/>
    <s v="Sufficient"/>
    <n v="5841534"/>
    <n v="6022.2000000000007"/>
  </r>
  <r>
    <s v="P1741"/>
    <x v="6"/>
    <n v="142"/>
    <n v="37"/>
    <x v="4"/>
    <n v="21167"/>
    <s v="Sufficient"/>
    <n v="3005714"/>
    <n v="4233.4000000000005"/>
  </r>
  <r>
    <s v="P1742"/>
    <x v="7"/>
    <n v="153"/>
    <n v="17"/>
    <x v="0"/>
    <n v="76692"/>
    <s v="Sufficient"/>
    <n v="11733876"/>
    <n v="15338.400000000001"/>
  </r>
  <r>
    <s v="P1743"/>
    <x v="5"/>
    <n v="198"/>
    <n v="17"/>
    <x v="4"/>
    <n v="25636"/>
    <s v="Sufficient"/>
    <n v="5075928"/>
    <n v="5127.2000000000007"/>
  </r>
  <r>
    <s v="P1744"/>
    <x v="5"/>
    <n v="6"/>
    <n v="14"/>
    <x v="4"/>
    <n v="69597"/>
    <s v="Low Stock"/>
    <n v="417582"/>
    <n v="13919.400000000001"/>
  </r>
  <r>
    <s v="P1745"/>
    <x v="1"/>
    <n v="14"/>
    <n v="40"/>
    <x v="2"/>
    <n v="76794"/>
    <s v="Low Stock"/>
    <n v="1075116"/>
    <n v="15358.800000000001"/>
  </r>
  <r>
    <s v="P1746"/>
    <x v="3"/>
    <n v="61"/>
    <n v="24"/>
    <x v="0"/>
    <n v="3810"/>
    <s v="Sufficient"/>
    <n v="232410"/>
    <n v="762"/>
  </r>
  <r>
    <s v="P1747"/>
    <x v="7"/>
    <n v="108"/>
    <n v="39"/>
    <x v="2"/>
    <n v="14369"/>
    <s v="Sufficient"/>
    <n v="1551852"/>
    <n v="2873.8"/>
  </r>
  <r>
    <s v="P1748"/>
    <x v="5"/>
    <n v="59"/>
    <n v="47"/>
    <x v="2"/>
    <n v="6951"/>
    <s v="Sufficient"/>
    <n v="410109"/>
    <n v="1390.2"/>
  </r>
  <r>
    <s v="P1749"/>
    <x v="1"/>
    <n v="123"/>
    <n v="20"/>
    <x v="3"/>
    <n v="27717"/>
    <s v="Sufficient"/>
    <n v="3409191"/>
    <n v="5543.4000000000005"/>
  </r>
  <r>
    <s v="P1750"/>
    <x v="6"/>
    <n v="90"/>
    <n v="30"/>
    <x v="4"/>
    <n v="49333"/>
    <s v="Sufficient"/>
    <n v="4439970"/>
    <n v="9866.6"/>
  </r>
  <r>
    <s v="P1751"/>
    <x v="4"/>
    <n v="191"/>
    <n v="25"/>
    <x v="3"/>
    <n v="61300"/>
    <s v="Sufficient"/>
    <n v="11708300"/>
    <n v="12260"/>
  </r>
  <r>
    <s v="P1752"/>
    <x v="5"/>
    <n v="123"/>
    <n v="45"/>
    <x v="3"/>
    <n v="71187"/>
    <s v="Sufficient"/>
    <n v="8756001"/>
    <n v="14237.400000000001"/>
  </r>
  <r>
    <s v="P1753"/>
    <x v="5"/>
    <n v="54"/>
    <n v="10"/>
    <x v="2"/>
    <n v="62510"/>
    <s v="Sufficient"/>
    <n v="3375540"/>
    <n v="12502"/>
  </r>
  <r>
    <s v="P1754"/>
    <x v="2"/>
    <n v="74"/>
    <n v="18"/>
    <x v="1"/>
    <n v="10383"/>
    <s v="Sufficient"/>
    <n v="768342"/>
    <n v="2076.6"/>
  </r>
  <r>
    <s v="P1755"/>
    <x v="5"/>
    <n v="147"/>
    <n v="48"/>
    <x v="0"/>
    <n v="30841"/>
    <s v="Sufficient"/>
    <n v="4533627"/>
    <n v="6168.2000000000007"/>
  </r>
  <r>
    <s v="P1756"/>
    <x v="1"/>
    <n v="170"/>
    <n v="25"/>
    <x v="0"/>
    <n v="47130"/>
    <s v="Sufficient"/>
    <n v="8012100"/>
    <n v="9426"/>
  </r>
  <r>
    <s v="P1757"/>
    <x v="5"/>
    <n v="56"/>
    <n v="36"/>
    <x v="2"/>
    <n v="25301"/>
    <s v="Sufficient"/>
    <n v="1416856"/>
    <n v="5060.2000000000007"/>
  </r>
  <r>
    <s v="P1758"/>
    <x v="0"/>
    <n v="184"/>
    <n v="37"/>
    <x v="1"/>
    <n v="50887"/>
    <s v="Sufficient"/>
    <n v="9363208"/>
    <n v="10177.400000000001"/>
  </r>
  <r>
    <s v="P1759"/>
    <x v="4"/>
    <n v="44"/>
    <n v="16"/>
    <x v="1"/>
    <n v="9671"/>
    <s v="Sufficient"/>
    <n v="425524"/>
    <n v="1934.2"/>
  </r>
  <r>
    <s v="P1760"/>
    <x v="7"/>
    <n v="58"/>
    <n v="48"/>
    <x v="3"/>
    <n v="40519"/>
    <s v="Sufficient"/>
    <n v="2350102"/>
    <n v="8103.8"/>
  </r>
  <r>
    <s v="P1761"/>
    <x v="3"/>
    <n v="71"/>
    <n v="14"/>
    <x v="1"/>
    <n v="28719"/>
    <s v="Sufficient"/>
    <n v="2039049"/>
    <n v="5743.8"/>
  </r>
  <r>
    <s v="P1762"/>
    <x v="0"/>
    <n v="140"/>
    <n v="45"/>
    <x v="4"/>
    <n v="61575"/>
    <s v="Sufficient"/>
    <n v="8620500"/>
    <n v="12315"/>
  </r>
  <r>
    <s v="P1763"/>
    <x v="2"/>
    <n v="56"/>
    <n v="10"/>
    <x v="1"/>
    <n v="65084"/>
    <s v="Sufficient"/>
    <n v="3644704"/>
    <n v="13016.800000000001"/>
  </r>
  <r>
    <s v="P1764"/>
    <x v="2"/>
    <n v="165"/>
    <n v="45"/>
    <x v="2"/>
    <n v="34559"/>
    <s v="Sufficient"/>
    <n v="5702235"/>
    <n v="6911.8"/>
  </r>
  <r>
    <s v="P1765"/>
    <x v="0"/>
    <n v="168"/>
    <n v="42"/>
    <x v="3"/>
    <n v="9795"/>
    <s v="Sufficient"/>
    <n v="1645560"/>
    <n v="1959"/>
  </r>
  <r>
    <s v="P1766"/>
    <x v="6"/>
    <n v="20"/>
    <n v="35"/>
    <x v="3"/>
    <n v="28780"/>
    <s v="Low Stock"/>
    <n v="575600"/>
    <n v="5756"/>
  </r>
  <r>
    <s v="P1767"/>
    <x v="0"/>
    <n v="195"/>
    <n v="33"/>
    <x v="4"/>
    <n v="32749"/>
    <s v="Sufficient"/>
    <n v="6386055"/>
    <n v="6549.8"/>
  </r>
  <r>
    <s v="P1768"/>
    <x v="0"/>
    <n v="146"/>
    <n v="38"/>
    <x v="3"/>
    <n v="70993"/>
    <s v="Sufficient"/>
    <n v="10364978"/>
    <n v="14198.6"/>
  </r>
  <r>
    <s v="P1769"/>
    <x v="2"/>
    <n v="1"/>
    <n v="26"/>
    <x v="4"/>
    <n v="63999"/>
    <s v="Low Stock"/>
    <n v="63999"/>
    <n v="12799.800000000001"/>
  </r>
  <r>
    <s v="P1770"/>
    <x v="1"/>
    <n v="12"/>
    <n v="20"/>
    <x v="3"/>
    <n v="49305"/>
    <s v="Low Stock"/>
    <n v="591660"/>
    <n v="9861"/>
  </r>
  <r>
    <s v="P1771"/>
    <x v="0"/>
    <n v="185"/>
    <n v="19"/>
    <x v="1"/>
    <n v="72410"/>
    <s v="Sufficient"/>
    <n v="13395850"/>
    <n v="14482"/>
  </r>
  <r>
    <s v="P1772"/>
    <x v="4"/>
    <n v="69"/>
    <n v="45"/>
    <x v="3"/>
    <n v="33554"/>
    <s v="Sufficient"/>
    <n v="2315226"/>
    <n v="6710.8"/>
  </r>
  <r>
    <s v="P1773"/>
    <x v="0"/>
    <n v="91"/>
    <n v="35"/>
    <x v="0"/>
    <n v="3933"/>
    <s v="Sufficient"/>
    <n v="357903"/>
    <n v="786.6"/>
  </r>
  <r>
    <s v="P1774"/>
    <x v="2"/>
    <n v="199"/>
    <n v="20"/>
    <x v="1"/>
    <n v="33652"/>
    <s v="Sufficient"/>
    <n v="6696748"/>
    <n v="6730.4000000000005"/>
  </r>
  <r>
    <s v="P1775"/>
    <x v="7"/>
    <n v="94"/>
    <n v="45"/>
    <x v="1"/>
    <n v="21089"/>
    <s v="Sufficient"/>
    <n v="1982366"/>
    <n v="4217.8"/>
  </r>
  <r>
    <s v="P1776"/>
    <x v="0"/>
    <n v="39"/>
    <n v="14"/>
    <x v="2"/>
    <n v="24078"/>
    <s v="Sufficient"/>
    <n v="939042"/>
    <n v="4815.6000000000004"/>
  </r>
  <r>
    <s v="P1777"/>
    <x v="3"/>
    <n v="52"/>
    <n v="27"/>
    <x v="0"/>
    <n v="43906"/>
    <s v="Sufficient"/>
    <n v="2283112"/>
    <n v="8781.2000000000007"/>
  </r>
  <r>
    <s v="P1778"/>
    <x v="3"/>
    <n v="42"/>
    <n v="48"/>
    <x v="2"/>
    <n v="10675"/>
    <s v="Low Stock"/>
    <n v="448350"/>
    <n v="2135"/>
  </r>
  <r>
    <s v="P1779"/>
    <x v="1"/>
    <n v="105"/>
    <n v="47"/>
    <x v="1"/>
    <n v="50458"/>
    <s v="Sufficient"/>
    <n v="5298090"/>
    <n v="10091.6"/>
  </r>
  <r>
    <s v="P1780"/>
    <x v="4"/>
    <n v="181"/>
    <n v="21"/>
    <x v="0"/>
    <n v="54067"/>
    <s v="Sufficient"/>
    <n v="9786127"/>
    <n v="10813.400000000001"/>
  </r>
  <r>
    <s v="P1781"/>
    <x v="4"/>
    <n v="59"/>
    <n v="25"/>
    <x v="2"/>
    <n v="49476"/>
    <s v="Sufficient"/>
    <n v="2919084"/>
    <n v="9895.2000000000007"/>
  </r>
  <r>
    <s v="P1782"/>
    <x v="1"/>
    <n v="115"/>
    <n v="20"/>
    <x v="2"/>
    <n v="35655"/>
    <s v="Sufficient"/>
    <n v="4100325"/>
    <n v="7131"/>
  </r>
  <r>
    <s v="P1783"/>
    <x v="1"/>
    <n v="170"/>
    <n v="23"/>
    <x v="3"/>
    <n v="39597"/>
    <s v="Sufficient"/>
    <n v="6731490"/>
    <n v="7919.4000000000005"/>
  </r>
  <r>
    <s v="P1784"/>
    <x v="3"/>
    <n v="71"/>
    <n v="14"/>
    <x v="0"/>
    <n v="71274"/>
    <s v="Sufficient"/>
    <n v="5060454"/>
    <n v="14254.800000000001"/>
  </r>
  <r>
    <s v="P1785"/>
    <x v="3"/>
    <n v="65"/>
    <n v="32"/>
    <x v="4"/>
    <n v="48568"/>
    <s v="Sufficient"/>
    <n v="3156920"/>
    <n v="9713.6"/>
  </r>
  <r>
    <s v="P1786"/>
    <x v="2"/>
    <n v="19"/>
    <n v="39"/>
    <x v="2"/>
    <n v="52185"/>
    <s v="Low Stock"/>
    <n v="991515"/>
    <n v="10437"/>
  </r>
  <r>
    <s v="P1787"/>
    <x v="4"/>
    <n v="10"/>
    <n v="31"/>
    <x v="3"/>
    <n v="28025"/>
    <s v="Low Stock"/>
    <n v="280250"/>
    <n v="5605"/>
  </r>
  <r>
    <s v="P1788"/>
    <x v="4"/>
    <n v="147"/>
    <n v="17"/>
    <x v="3"/>
    <n v="49370"/>
    <s v="Sufficient"/>
    <n v="7257390"/>
    <n v="9874"/>
  </r>
  <r>
    <s v="P1789"/>
    <x v="7"/>
    <n v="16"/>
    <n v="23"/>
    <x v="1"/>
    <n v="18670"/>
    <s v="Low Stock"/>
    <n v="298720"/>
    <n v="3734"/>
  </r>
  <r>
    <s v="P1790"/>
    <x v="4"/>
    <n v="152"/>
    <n v="34"/>
    <x v="3"/>
    <n v="78157"/>
    <s v="Sufficient"/>
    <n v="11879864"/>
    <n v="15631.400000000001"/>
  </r>
  <r>
    <s v="P1791"/>
    <x v="6"/>
    <n v="196"/>
    <n v="48"/>
    <x v="4"/>
    <n v="71030"/>
    <s v="Sufficient"/>
    <n v="13921880"/>
    <n v="14206"/>
  </r>
  <r>
    <s v="P1792"/>
    <x v="1"/>
    <n v="13"/>
    <n v="22"/>
    <x v="4"/>
    <n v="35924"/>
    <s v="Low Stock"/>
    <n v="467012"/>
    <n v="7184.8"/>
  </r>
  <r>
    <s v="P1793"/>
    <x v="6"/>
    <n v="137"/>
    <n v="48"/>
    <x v="4"/>
    <n v="11447"/>
    <s v="Sufficient"/>
    <n v="1568239"/>
    <n v="2289.4"/>
  </r>
  <r>
    <s v="P1794"/>
    <x v="7"/>
    <n v="166"/>
    <n v="46"/>
    <x v="2"/>
    <n v="75152"/>
    <s v="Sufficient"/>
    <n v="12475232"/>
    <n v="15030.400000000001"/>
  </r>
  <r>
    <s v="P1795"/>
    <x v="6"/>
    <n v="27"/>
    <n v="34"/>
    <x v="1"/>
    <n v="57714"/>
    <s v="Low Stock"/>
    <n v="1558278"/>
    <n v="11542.800000000001"/>
  </r>
  <r>
    <s v="P1796"/>
    <x v="1"/>
    <n v="104"/>
    <n v="49"/>
    <x v="3"/>
    <n v="20063"/>
    <s v="Sufficient"/>
    <n v="2086552"/>
    <n v="4012.6000000000004"/>
  </r>
  <r>
    <s v="P1797"/>
    <x v="3"/>
    <n v="83"/>
    <n v="43"/>
    <x v="1"/>
    <n v="15970"/>
    <s v="Sufficient"/>
    <n v="1325510"/>
    <n v="3194"/>
  </r>
  <r>
    <s v="P1798"/>
    <x v="0"/>
    <n v="111"/>
    <n v="41"/>
    <x v="2"/>
    <n v="70127"/>
    <s v="Sufficient"/>
    <n v="7784097"/>
    <n v="14025.400000000001"/>
  </r>
  <r>
    <s v="P1799"/>
    <x v="5"/>
    <n v="78"/>
    <n v="26"/>
    <x v="1"/>
    <n v="72543"/>
    <s v="Sufficient"/>
    <n v="5658354"/>
    <n v="14508.6"/>
  </r>
  <r>
    <s v="P1800"/>
    <x v="6"/>
    <n v="57"/>
    <n v="26"/>
    <x v="1"/>
    <n v="75372"/>
    <s v="Sufficient"/>
    <n v="4296204"/>
    <n v="15074.400000000001"/>
  </r>
  <r>
    <s v="P1801"/>
    <x v="5"/>
    <n v="163"/>
    <n v="49"/>
    <x v="2"/>
    <n v="14360"/>
    <s v="Sufficient"/>
    <n v="2340680"/>
    <n v="2872"/>
  </r>
  <r>
    <s v="P1802"/>
    <x v="0"/>
    <n v="193"/>
    <n v="44"/>
    <x v="0"/>
    <n v="34631"/>
    <s v="Sufficient"/>
    <n v="6683783"/>
    <n v="6926.2000000000007"/>
  </r>
  <r>
    <s v="P1803"/>
    <x v="4"/>
    <n v="136"/>
    <n v="39"/>
    <x v="4"/>
    <n v="47577"/>
    <s v="Sufficient"/>
    <n v="6470472"/>
    <n v="9515.4"/>
  </r>
  <r>
    <s v="P1804"/>
    <x v="1"/>
    <n v="148"/>
    <n v="35"/>
    <x v="4"/>
    <n v="63027"/>
    <s v="Sufficient"/>
    <n v="9327996"/>
    <n v="12605.400000000001"/>
  </r>
  <r>
    <s v="P1805"/>
    <x v="4"/>
    <n v="169"/>
    <n v="49"/>
    <x v="0"/>
    <n v="60552"/>
    <s v="Sufficient"/>
    <n v="10233288"/>
    <n v="12110.400000000001"/>
  </r>
  <r>
    <s v="P1806"/>
    <x v="3"/>
    <n v="184"/>
    <n v="15"/>
    <x v="1"/>
    <n v="65394"/>
    <s v="Sufficient"/>
    <n v="12032496"/>
    <n v="13078.800000000001"/>
  </r>
  <r>
    <s v="P1807"/>
    <x v="3"/>
    <n v="63"/>
    <n v="30"/>
    <x v="2"/>
    <n v="56085"/>
    <s v="Sufficient"/>
    <n v="3533355"/>
    <n v="11217"/>
  </r>
  <r>
    <s v="P1808"/>
    <x v="6"/>
    <n v="58"/>
    <n v="44"/>
    <x v="1"/>
    <n v="68570"/>
    <s v="Sufficient"/>
    <n v="3977060"/>
    <n v="13714"/>
  </r>
  <r>
    <s v="P1809"/>
    <x v="1"/>
    <n v="43"/>
    <n v="19"/>
    <x v="3"/>
    <n v="65705"/>
    <s v="Sufficient"/>
    <n v="2825315"/>
    <n v="13141"/>
  </r>
  <r>
    <s v="P1810"/>
    <x v="3"/>
    <n v="126"/>
    <n v="13"/>
    <x v="3"/>
    <n v="17723"/>
    <s v="Sufficient"/>
    <n v="2233098"/>
    <n v="3544.6000000000004"/>
  </r>
  <r>
    <s v="P1811"/>
    <x v="1"/>
    <n v="53"/>
    <n v="38"/>
    <x v="1"/>
    <n v="32429"/>
    <s v="Sufficient"/>
    <n v="1718737"/>
    <n v="6485.8"/>
  </r>
  <r>
    <s v="P1812"/>
    <x v="2"/>
    <n v="167"/>
    <n v="34"/>
    <x v="1"/>
    <n v="53366"/>
    <s v="Sufficient"/>
    <n v="8912122"/>
    <n v="10673.2"/>
  </r>
  <r>
    <s v="P1813"/>
    <x v="7"/>
    <n v="34"/>
    <n v="46"/>
    <x v="0"/>
    <n v="10003"/>
    <s v="Low Stock"/>
    <n v="340102"/>
    <n v="2000.6000000000001"/>
  </r>
  <r>
    <s v="P1814"/>
    <x v="7"/>
    <n v="74"/>
    <n v="13"/>
    <x v="3"/>
    <n v="33927"/>
    <s v="Sufficient"/>
    <n v="2510598"/>
    <n v="6785.4000000000005"/>
  </r>
  <r>
    <s v="P1815"/>
    <x v="5"/>
    <n v="115"/>
    <n v="40"/>
    <x v="2"/>
    <n v="4261"/>
    <s v="Sufficient"/>
    <n v="490015"/>
    <n v="852.2"/>
  </r>
  <r>
    <s v="P1816"/>
    <x v="1"/>
    <n v="43"/>
    <n v="32"/>
    <x v="0"/>
    <n v="588"/>
    <s v="Sufficient"/>
    <n v="25284"/>
    <n v="117.60000000000001"/>
  </r>
  <r>
    <s v="P1817"/>
    <x v="1"/>
    <n v="140"/>
    <n v="13"/>
    <x v="3"/>
    <n v="30930"/>
    <s v="Sufficient"/>
    <n v="4330200"/>
    <n v="6186"/>
  </r>
  <r>
    <s v="P1818"/>
    <x v="2"/>
    <n v="68"/>
    <n v="14"/>
    <x v="0"/>
    <n v="2944"/>
    <s v="Sufficient"/>
    <n v="200192"/>
    <n v="588.80000000000007"/>
  </r>
  <r>
    <s v="P1819"/>
    <x v="7"/>
    <n v="174"/>
    <n v="40"/>
    <x v="3"/>
    <n v="44014"/>
    <s v="Sufficient"/>
    <n v="7658436"/>
    <n v="8802.8000000000011"/>
  </r>
  <r>
    <s v="P1820"/>
    <x v="3"/>
    <n v="107"/>
    <n v="11"/>
    <x v="0"/>
    <n v="5481"/>
    <s v="Sufficient"/>
    <n v="586467"/>
    <n v="1096.2"/>
  </r>
  <r>
    <s v="P1821"/>
    <x v="6"/>
    <n v="15"/>
    <n v="50"/>
    <x v="2"/>
    <n v="36307"/>
    <s v="Low Stock"/>
    <n v="544605"/>
    <n v="7261.4000000000005"/>
  </r>
  <r>
    <s v="P1822"/>
    <x v="7"/>
    <n v="34"/>
    <n v="15"/>
    <x v="4"/>
    <n v="48120"/>
    <s v="Sufficient"/>
    <n v="1636080"/>
    <n v="9624"/>
  </r>
  <r>
    <s v="P1823"/>
    <x v="5"/>
    <n v="0"/>
    <n v="35"/>
    <x v="1"/>
    <n v="75092"/>
    <s v="Pending"/>
    <n v="0"/>
    <n v="15018.400000000001"/>
  </r>
  <r>
    <s v="P1824"/>
    <x v="0"/>
    <n v="15"/>
    <n v="28"/>
    <x v="3"/>
    <n v="25051"/>
    <s v="Low Stock"/>
    <n v="375765"/>
    <n v="5010.2000000000007"/>
  </r>
  <r>
    <s v="P1825"/>
    <x v="4"/>
    <n v="50"/>
    <n v="33"/>
    <x v="1"/>
    <n v="47227"/>
    <s v="Sufficient"/>
    <n v="2361350"/>
    <n v="9445.4"/>
  </r>
  <r>
    <s v="P1826"/>
    <x v="1"/>
    <n v="48"/>
    <n v="26"/>
    <x v="4"/>
    <n v="70825"/>
    <s v="Sufficient"/>
    <n v="3399600"/>
    <n v="14165"/>
  </r>
  <r>
    <s v="P1827"/>
    <x v="5"/>
    <n v="87"/>
    <n v="40"/>
    <x v="0"/>
    <n v="2440"/>
    <s v="Sufficient"/>
    <n v="212280"/>
    <n v="488"/>
  </r>
  <r>
    <s v="P1828"/>
    <x v="6"/>
    <n v="94"/>
    <n v="38"/>
    <x v="1"/>
    <n v="23678"/>
    <s v="Sufficient"/>
    <n v="2225732"/>
    <n v="4735.6000000000004"/>
  </r>
  <r>
    <s v="P1829"/>
    <x v="7"/>
    <n v="35"/>
    <n v="36"/>
    <x v="1"/>
    <n v="74367"/>
    <s v="Low Stock"/>
    <n v="2602845"/>
    <n v="14873.400000000001"/>
  </r>
  <r>
    <s v="P1830"/>
    <x v="0"/>
    <n v="52"/>
    <n v="18"/>
    <x v="4"/>
    <n v="78759"/>
    <s v="Sufficient"/>
    <n v="4095468"/>
    <n v="15751.800000000001"/>
  </r>
  <r>
    <s v="P1831"/>
    <x v="3"/>
    <n v="105"/>
    <n v="32"/>
    <x v="3"/>
    <n v="56967"/>
    <s v="Sufficient"/>
    <n v="5981535"/>
    <n v="11393.400000000001"/>
  </r>
  <r>
    <s v="P1832"/>
    <x v="3"/>
    <n v="69"/>
    <n v="43"/>
    <x v="3"/>
    <n v="54496"/>
    <s v="Sufficient"/>
    <n v="3760224"/>
    <n v="10899.2"/>
  </r>
  <r>
    <s v="P1833"/>
    <x v="1"/>
    <n v="84"/>
    <n v="14"/>
    <x v="0"/>
    <n v="21495"/>
    <s v="Sufficient"/>
    <n v="1805580"/>
    <n v="4299"/>
  </r>
  <r>
    <s v="P1834"/>
    <x v="6"/>
    <n v="75"/>
    <n v="43"/>
    <x v="2"/>
    <n v="21018"/>
    <s v="Sufficient"/>
    <n v="1576350"/>
    <n v="4203.6000000000004"/>
  </r>
  <r>
    <s v="P1835"/>
    <x v="4"/>
    <n v="162"/>
    <n v="22"/>
    <x v="3"/>
    <n v="21293"/>
    <s v="Sufficient"/>
    <n v="3449466"/>
    <n v="4258.6000000000004"/>
  </r>
  <r>
    <s v="P1836"/>
    <x v="1"/>
    <n v="99"/>
    <n v="16"/>
    <x v="1"/>
    <n v="22679"/>
    <s v="Sufficient"/>
    <n v="2245221"/>
    <n v="4535.8"/>
  </r>
  <r>
    <s v="P1837"/>
    <x v="3"/>
    <n v="131"/>
    <n v="30"/>
    <x v="2"/>
    <n v="9891"/>
    <s v="Sufficient"/>
    <n v="1295721"/>
    <n v="1978.2"/>
  </r>
  <r>
    <s v="P1838"/>
    <x v="7"/>
    <n v="174"/>
    <n v="41"/>
    <x v="3"/>
    <n v="12255"/>
    <s v="Sufficient"/>
    <n v="2132370"/>
    <n v="2451"/>
  </r>
  <r>
    <s v="P1839"/>
    <x v="0"/>
    <n v="67"/>
    <n v="39"/>
    <x v="2"/>
    <n v="77092"/>
    <s v="Sufficient"/>
    <n v="5165164"/>
    <n v="15418.400000000001"/>
  </r>
  <r>
    <s v="P1840"/>
    <x v="6"/>
    <n v="31"/>
    <n v="30"/>
    <x v="2"/>
    <n v="62776"/>
    <s v="Sufficient"/>
    <n v="1946056"/>
    <n v="12555.2"/>
  </r>
  <r>
    <s v="P1841"/>
    <x v="2"/>
    <n v="38"/>
    <n v="11"/>
    <x v="3"/>
    <n v="44258"/>
    <s v="Sufficient"/>
    <n v="1681804"/>
    <n v="8851.6"/>
  </r>
  <r>
    <s v="P1842"/>
    <x v="2"/>
    <n v="149"/>
    <n v="50"/>
    <x v="1"/>
    <n v="75160"/>
    <s v="Sufficient"/>
    <n v="11198840"/>
    <n v="15032"/>
  </r>
  <r>
    <s v="P1843"/>
    <x v="6"/>
    <n v="115"/>
    <n v="23"/>
    <x v="3"/>
    <n v="33970"/>
    <s v="Sufficient"/>
    <n v="3906550"/>
    <n v="6794"/>
  </r>
  <r>
    <s v="P1844"/>
    <x v="7"/>
    <n v="62"/>
    <n v="20"/>
    <x v="4"/>
    <n v="61963"/>
    <s v="Sufficient"/>
    <n v="3841706"/>
    <n v="12392.6"/>
  </r>
  <r>
    <s v="P1845"/>
    <x v="5"/>
    <n v="90"/>
    <n v="13"/>
    <x v="2"/>
    <n v="52909"/>
    <s v="Sufficient"/>
    <n v="4761810"/>
    <n v="10581.800000000001"/>
  </r>
  <r>
    <s v="P1846"/>
    <x v="6"/>
    <n v="85"/>
    <n v="43"/>
    <x v="1"/>
    <n v="31611"/>
    <s v="Sufficient"/>
    <n v="2686935"/>
    <n v="6322.2000000000007"/>
  </r>
  <r>
    <s v="P1847"/>
    <x v="7"/>
    <n v="76"/>
    <n v="31"/>
    <x v="2"/>
    <n v="50574"/>
    <s v="Sufficient"/>
    <n v="3843624"/>
    <n v="10114.800000000001"/>
  </r>
  <r>
    <s v="P1848"/>
    <x v="6"/>
    <n v="59"/>
    <n v="41"/>
    <x v="3"/>
    <n v="73620"/>
    <s v="Sufficient"/>
    <n v="4343580"/>
    <n v="14724"/>
  </r>
  <r>
    <s v="P1849"/>
    <x v="7"/>
    <n v="67"/>
    <n v="44"/>
    <x v="3"/>
    <n v="7388"/>
    <s v="Sufficient"/>
    <n v="494996"/>
    <n v="1477.6000000000001"/>
  </r>
  <r>
    <s v="P1850"/>
    <x v="0"/>
    <n v="16"/>
    <n v="24"/>
    <x v="0"/>
    <n v="39310"/>
    <s v="Low Stock"/>
    <n v="628960"/>
    <n v="7862"/>
  </r>
  <r>
    <s v="P1851"/>
    <x v="2"/>
    <n v="44"/>
    <n v="47"/>
    <x v="1"/>
    <n v="34002"/>
    <s v="Low Stock"/>
    <n v="1496088"/>
    <n v="6800.4000000000005"/>
  </r>
  <r>
    <s v="P1852"/>
    <x v="1"/>
    <n v="165"/>
    <n v="18"/>
    <x v="4"/>
    <n v="37910"/>
    <s v="Sufficient"/>
    <n v="6255150"/>
    <n v="7582"/>
  </r>
  <r>
    <s v="P1853"/>
    <x v="4"/>
    <n v="188"/>
    <n v="18"/>
    <x v="2"/>
    <n v="10896"/>
    <s v="Sufficient"/>
    <n v="2048448"/>
    <n v="2179.2000000000003"/>
  </r>
  <r>
    <s v="P1854"/>
    <x v="6"/>
    <n v="9"/>
    <n v="16"/>
    <x v="2"/>
    <n v="44984"/>
    <s v="Low Stock"/>
    <n v="404856"/>
    <n v="8996.8000000000011"/>
  </r>
  <r>
    <s v="P1855"/>
    <x v="7"/>
    <n v="3"/>
    <n v="26"/>
    <x v="1"/>
    <n v="14561"/>
    <s v="Low Stock"/>
    <n v="43683"/>
    <n v="2912.2000000000003"/>
  </r>
  <r>
    <s v="P1856"/>
    <x v="4"/>
    <n v="194"/>
    <n v="50"/>
    <x v="3"/>
    <n v="16173"/>
    <s v="Sufficient"/>
    <n v="3137562"/>
    <n v="3234.6000000000004"/>
  </r>
  <r>
    <s v="P1857"/>
    <x v="7"/>
    <n v="34"/>
    <n v="20"/>
    <x v="4"/>
    <n v="49121"/>
    <s v="Sufficient"/>
    <n v="1670114"/>
    <n v="9824.2000000000007"/>
  </r>
  <r>
    <s v="P1858"/>
    <x v="2"/>
    <n v="158"/>
    <n v="50"/>
    <x v="3"/>
    <n v="30615"/>
    <s v="Sufficient"/>
    <n v="4837170"/>
    <n v="6123"/>
  </r>
  <r>
    <s v="P1859"/>
    <x v="7"/>
    <n v="143"/>
    <n v="40"/>
    <x v="0"/>
    <n v="38122"/>
    <s v="Sufficient"/>
    <n v="5451446"/>
    <n v="7624.4000000000005"/>
  </r>
  <r>
    <s v="P1860"/>
    <x v="1"/>
    <n v="5"/>
    <n v="45"/>
    <x v="4"/>
    <n v="12202"/>
    <s v="Low Stock"/>
    <n v="61010"/>
    <n v="2440.4"/>
  </r>
  <r>
    <s v="P1861"/>
    <x v="7"/>
    <n v="121"/>
    <n v="20"/>
    <x v="3"/>
    <n v="68474"/>
    <s v="Sufficient"/>
    <n v="8285354"/>
    <n v="13694.800000000001"/>
  </r>
  <r>
    <s v="P1862"/>
    <x v="3"/>
    <n v="176"/>
    <n v="24"/>
    <x v="1"/>
    <n v="31561"/>
    <s v="Sufficient"/>
    <n v="5554736"/>
    <n v="6312.2000000000007"/>
  </r>
  <r>
    <s v="P1863"/>
    <x v="1"/>
    <n v="66"/>
    <n v="26"/>
    <x v="4"/>
    <n v="10236"/>
    <s v="Sufficient"/>
    <n v="675576"/>
    <n v="2047.2"/>
  </r>
  <r>
    <s v="P1864"/>
    <x v="0"/>
    <n v="84"/>
    <n v="15"/>
    <x v="1"/>
    <n v="30706"/>
    <s v="Sufficient"/>
    <n v="2579304"/>
    <n v="6141.2000000000007"/>
  </r>
  <r>
    <s v="P1865"/>
    <x v="6"/>
    <n v="100"/>
    <n v="10"/>
    <x v="4"/>
    <n v="14471"/>
    <s v="Sufficient"/>
    <n v="1447100"/>
    <n v="2894.2000000000003"/>
  </r>
  <r>
    <s v="P1866"/>
    <x v="0"/>
    <n v="163"/>
    <n v="44"/>
    <x v="0"/>
    <n v="51303"/>
    <s v="Sufficient"/>
    <n v="8362389"/>
    <n v="10260.6"/>
  </r>
  <r>
    <s v="P1867"/>
    <x v="6"/>
    <n v="35"/>
    <n v="38"/>
    <x v="1"/>
    <n v="66361"/>
    <s v="Low Stock"/>
    <n v="2322635"/>
    <n v="13272.2"/>
  </r>
  <r>
    <s v="P1868"/>
    <x v="7"/>
    <n v="96"/>
    <n v="35"/>
    <x v="4"/>
    <n v="28456"/>
    <s v="Sufficient"/>
    <n v="2731776"/>
    <n v="5691.2000000000007"/>
  </r>
  <r>
    <s v="P1869"/>
    <x v="5"/>
    <n v="39"/>
    <n v="37"/>
    <x v="2"/>
    <n v="27042"/>
    <s v="Sufficient"/>
    <n v="1054638"/>
    <n v="5408.4000000000005"/>
  </r>
  <r>
    <s v="P1870"/>
    <x v="0"/>
    <n v="126"/>
    <n v="21"/>
    <x v="4"/>
    <n v="6197"/>
    <s v="Sufficient"/>
    <n v="780822"/>
    <n v="1239.4000000000001"/>
  </r>
  <r>
    <s v="P1871"/>
    <x v="6"/>
    <n v="68"/>
    <n v="31"/>
    <x v="4"/>
    <n v="43576"/>
    <s v="Sufficient"/>
    <n v="2963168"/>
    <n v="8715.2000000000007"/>
  </r>
  <r>
    <s v="P1872"/>
    <x v="7"/>
    <n v="47"/>
    <n v="16"/>
    <x v="3"/>
    <n v="45271"/>
    <s v="Sufficient"/>
    <n v="2127737"/>
    <n v="9054.2000000000007"/>
  </r>
  <r>
    <s v="P1873"/>
    <x v="4"/>
    <n v="58"/>
    <n v="46"/>
    <x v="0"/>
    <n v="40907"/>
    <s v="Sufficient"/>
    <n v="2372606"/>
    <n v="8181.4000000000005"/>
  </r>
  <r>
    <s v="P1874"/>
    <x v="6"/>
    <n v="145"/>
    <n v="13"/>
    <x v="3"/>
    <n v="78031"/>
    <s v="Sufficient"/>
    <n v="11314495"/>
    <n v="15606.2"/>
  </r>
  <r>
    <s v="P1875"/>
    <x v="0"/>
    <n v="19"/>
    <n v="22"/>
    <x v="3"/>
    <n v="60540"/>
    <s v="Low Stock"/>
    <n v="1150260"/>
    <n v="12108"/>
  </r>
  <r>
    <s v="P1876"/>
    <x v="1"/>
    <n v="83"/>
    <n v="11"/>
    <x v="4"/>
    <n v="13025"/>
    <s v="Sufficient"/>
    <n v="1081075"/>
    <n v="2605"/>
  </r>
  <r>
    <s v="P1877"/>
    <x v="2"/>
    <n v="59"/>
    <n v="45"/>
    <x v="3"/>
    <n v="10861"/>
    <s v="Sufficient"/>
    <n v="640799"/>
    <n v="2172.2000000000003"/>
  </r>
  <r>
    <s v="P1878"/>
    <x v="6"/>
    <n v="169"/>
    <n v="16"/>
    <x v="2"/>
    <n v="12390"/>
    <s v="Sufficient"/>
    <n v="2093910"/>
    <n v="2478"/>
  </r>
  <r>
    <s v="P1879"/>
    <x v="5"/>
    <n v="49"/>
    <n v="40"/>
    <x v="0"/>
    <n v="1415"/>
    <s v="Sufficient"/>
    <n v="69335"/>
    <n v="283"/>
  </r>
  <r>
    <s v="P1880"/>
    <x v="0"/>
    <n v="131"/>
    <n v="46"/>
    <x v="0"/>
    <n v="54856"/>
    <s v="Sufficient"/>
    <n v="7186136"/>
    <n v="10971.2"/>
  </r>
  <r>
    <s v="P1881"/>
    <x v="1"/>
    <n v="148"/>
    <n v="23"/>
    <x v="4"/>
    <n v="47196"/>
    <s v="Sufficient"/>
    <n v="6985008"/>
    <n v="9439.2000000000007"/>
  </r>
  <r>
    <s v="P1882"/>
    <x v="2"/>
    <n v="135"/>
    <n v="29"/>
    <x v="4"/>
    <n v="31976"/>
    <s v="Sufficient"/>
    <n v="4316760"/>
    <n v="6395.2000000000007"/>
  </r>
  <r>
    <s v="P1883"/>
    <x v="1"/>
    <n v="42"/>
    <n v="20"/>
    <x v="2"/>
    <n v="15473"/>
    <s v="Sufficient"/>
    <n v="649866"/>
    <n v="3094.6000000000004"/>
  </r>
  <r>
    <s v="P1884"/>
    <x v="3"/>
    <n v="50"/>
    <n v="41"/>
    <x v="0"/>
    <n v="29039"/>
    <s v="Sufficient"/>
    <n v="1451950"/>
    <n v="5807.8"/>
  </r>
  <r>
    <s v="P1885"/>
    <x v="2"/>
    <n v="97"/>
    <n v="46"/>
    <x v="1"/>
    <n v="23416"/>
    <s v="Sufficient"/>
    <n v="2271352"/>
    <n v="4683.2"/>
  </r>
  <r>
    <s v="P1886"/>
    <x v="6"/>
    <n v="21"/>
    <n v="23"/>
    <x v="2"/>
    <n v="64420"/>
    <s v="Low Stock"/>
    <n v="1352820"/>
    <n v="12884"/>
  </r>
  <r>
    <s v="P1887"/>
    <x v="5"/>
    <n v="12"/>
    <n v="29"/>
    <x v="3"/>
    <n v="12642"/>
    <s v="Low Stock"/>
    <n v="151704"/>
    <n v="2528.4"/>
  </r>
  <r>
    <s v="P1888"/>
    <x v="0"/>
    <n v="101"/>
    <n v="17"/>
    <x v="1"/>
    <n v="26729"/>
    <s v="Sufficient"/>
    <n v="2699629"/>
    <n v="5345.8"/>
  </r>
  <r>
    <s v="P1889"/>
    <x v="7"/>
    <n v="102"/>
    <n v="49"/>
    <x v="4"/>
    <n v="20051"/>
    <s v="Sufficient"/>
    <n v="2045202"/>
    <n v="4010.2000000000003"/>
  </r>
  <r>
    <s v="P1890"/>
    <x v="3"/>
    <n v="121"/>
    <n v="24"/>
    <x v="0"/>
    <n v="34048"/>
    <s v="Sufficient"/>
    <n v="4119808"/>
    <n v="6809.6"/>
  </r>
  <r>
    <s v="P1891"/>
    <x v="6"/>
    <n v="26"/>
    <n v="23"/>
    <x v="1"/>
    <n v="13665"/>
    <s v="Sufficient"/>
    <n v="355290"/>
    <n v="2733"/>
  </r>
  <r>
    <s v="P1892"/>
    <x v="6"/>
    <n v="2"/>
    <n v="25"/>
    <x v="3"/>
    <n v="60949"/>
    <s v="Low Stock"/>
    <n v="121898"/>
    <n v="12189.800000000001"/>
  </r>
  <r>
    <s v="P1893"/>
    <x v="0"/>
    <n v="75"/>
    <n v="50"/>
    <x v="3"/>
    <n v="63904"/>
    <s v="Sufficient"/>
    <n v="4792800"/>
    <n v="12780.800000000001"/>
  </r>
  <r>
    <s v="P1894"/>
    <x v="4"/>
    <n v="61"/>
    <n v="29"/>
    <x v="0"/>
    <n v="76144"/>
    <s v="Sufficient"/>
    <n v="4644784"/>
    <n v="15228.800000000001"/>
  </r>
  <r>
    <s v="P1895"/>
    <x v="4"/>
    <n v="125"/>
    <n v="33"/>
    <x v="3"/>
    <n v="49876"/>
    <s v="Sufficient"/>
    <n v="6234500"/>
    <n v="9975.2000000000007"/>
  </r>
  <r>
    <s v="P1896"/>
    <x v="5"/>
    <n v="45"/>
    <n v="24"/>
    <x v="2"/>
    <n v="66459"/>
    <s v="Sufficient"/>
    <n v="2990655"/>
    <n v="13291.800000000001"/>
  </r>
  <r>
    <s v="P1897"/>
    <x v="4"/>
    <n v="166"/>
    <n v="18"/>
    <x v="1"/>
    <n v="28540"/>
    <s v="Sufficient"/>
    <n v="4737640"/>
    <n v="5708"/>
  </r>
  <r>
    <s v="P1898"/>
    <x v="7"/>
    <n v="50"/>
    <n v="39"/>
    <x v="0"/>
    <n v="36876"/>
    <s v="Sufficient"/>
    <n v="1843800"/>
    <n v="7375.2000000000007"/>
  </r>
  <r>
    <s v="P1899"/>
    <x v="7"/>
    <n v="50"/>
    <n v="41"/>
    <x v="1"/>
    <n v="16489"/>
    <s v="Sufficient"/>
    <n v="824450"/>
    <n v="3297.8"/>
  </r>
  <r>
    <s v="P1900"/>
    <x v="7"/>
    <n v="66"/>
    <n v="13"/>
    <x v="2"/>
    <n v="75885"/>
    <s v="Sufficient"/>
    <n v="5008410"/>
    <n v="15177"/>
  </r>
  <r>
    <s v="P1901"/>
    <x v="2"/>
    <n v="89"/>
    <n v="41"/>
    <x v="0"/>
    <n v="71892"/>
    <s v="Sufficient"/>
    <n v="6398388"/>
    <n v="14378.400000000001"/>
  </r>
  <r>
    <s v="P1902"/>
    <x v="0"/>
    <n v="51"/>
    <n v="50"/>
    <x v="0"/>
    <n v="17607"/>
    <s v="Sufficient"/>
    <n v="897957"/>
    <n v="3521.4"/>
  </r>
  <r>
    <s v="P1903"/>
    <x v="1"/>
    <n v="130"/>
    <n v="16"/>
    <x v="1"/>
    <n v="72414"/>
    <s v="Sufficient"/>
    <n v="9413820"/>
    <n v="14482.800000000001"/>
  </r>
  <r>
    <s v="P1904"/>
    <x v="1"/>
    <n v="27"/>
    <n v="27"/>
    <x v="0"/>
    <n v="71530"/>
    <s v="Low Stock"/>
    <n v="1931310"/>
    <n v="14306"/>
  </r>
  <r>
    <s v="P1905"/>
    <x v="1"/>
    <n v="121"/>
    <n v="43"/>
    <x v="2"/>
    <n v="20670"/>
    <s v="Sufficient"/>
    <n v="2501070"/>
    <n v="4134"/>
  </r>
  <r>
    <s v="P1906"/>
    <x v="5"/>
    <n v="74"/>
    <n v="47"/>
    <x v="0"/>
    <n v="12719"/>
    <s v="Sufficient"/>
    <n v="941206"/>
    <n v="2543.8000000000002"/>
  </r>
  <r>
    <s v="P1907"/>
    <x v="0"/>
    <n v="94"/>
    <n v="11"/>
    <x v="3"/>
    <n v="61576"/>
    <s v="Sufficient"/>
    <n v="5788144"/>
    <n v="12315.2"/>
  </r>
  <r>
    <s v="P1908"/>
    <x v="5"/>
    <n v="146"/>
    <n v="28"/>
    <x v="0"/>
    <n v="61045"/>
    <s v="Sufficient"/>
    <n v="8912570"/>
    <n v="12209"/>
  </r>
  <r>
    <s v="P1909"/>
    <x v="1"/>
    <n v="111"/>
    <n v="29"/>
    <x v="4"/>
    <n v="11871"/>
    <s v="Sufficient"/>
    <n v="1317681"/>
    <n v="2374.2000000000003"/>
  </r>
  <r>
    <s v="P1910"/>
    <x v="1"/>
    <n v="187"/>
    <n v="48"/>
    <x v="1"/>
    <n v="55605"/>
    <s v="Sufficient"/>
    <n v="10398135"/>
    <n v="11121"/>
  </r>
  <r>
    <s v="P1911"/>
    <x v="5"/>
    <n v="147"/>
    <n v="13"/>
    <x v="0"/>
    <n v="20329"/>
    <s v="Sufficient"/>
    <n v="2988363"/>
    <n v="4065.8"/>
  </r>
  <r>
    <s v="P1912"/>
    <x v="6"/>
    <n v="172"/>
    <n v="43"/>
    <x v="3"/>
    <n v="64852"/>
    <s v="Sufficient"/>
    <n v="11154544"/>
    <n v="12970.400000000001"/>
  </r>
  <r>
    <s v="P1913"/>
    <x v="5"/>
    <n v="59"/>
    <n v="25"/>
    <x v="1"/>
    <n v="21366"/>
    <s v="Sufficient"/>
    <n v="1260594"/>
    <n v="4273.2"/>
  </r>
  <r>
    <s v="P1914"/>
    <x v="5"/>
    <n v="27"/>
    <n v="36"/>
    <x v="1"/>
    <n v="38231"/>
    <s v="Low Stock"/>
    <n v="1032237"/>
    <n v="7646.2000000000007"/>
  </r>
  <r>
    <s v="P1915"/>
    <x v="3"/>
    <n v="68"/>
    <n v="43"/>
    <x v="2"/>
    <n v="59044"/>
    <s v="Sufficient"/>
    <n v="4014992"/>
    <n v="11808.800000000001"/>
  </r>
  <r>
    <s v="P1916"/>
    <x v="4"/>
    <n v="103"/>
    <n v="19"/>
    <x v="2"/>
    <n v="5531"/>
    <s v="Sufficient"/>
    <n v="569693"/>
    <n v="1106.2"/>
  </r>
  <r>
    <s v="P1917"/>
    <x v="1"/>
    <n v="103"/>
    <n v="41"/>
    <x v="4"/>
    <n v="5573"/>
    <s v="Sufficient"/>
    <n v="574019"/>
    <n v="1114.6000000000001"/>
  </r>
  <r>
    <s v="P1918"/>
    <x v="1"/>
    <n v="163"/>
    <n v="49"/>
    <x v="0"/>
    <n v="12209"/>
    <s v="Sufficient"/>
    <n v="1990067"/>
    <n v="2441.8000000000002"/>
  </r>
  <r>
    <s v="P1919"/>
    <x v="6"/>
    <n v="150"/>
    <n v="21"/>
    <x v="1"/>
    <n v="990"/>
    <s v="Sufficient"/>
    <n v="148500"/>
    <n v="198"/>
  </r>
  <r>
    <s v="P1920"/>
    <x v="1"/>
    <n v="10"/>
    <n v="31"/>
    <x v="0"/>
    <n v="34156"/>
    <s v="Low Stock"/>
    <n v="341560"/>
    <n v="6831.2000000000007"/>
  </r>
  <r>
    <s v="P1921"/>
    <x v="5"/>
    <n v="101"/>
    <n v="35"/>
    <x v="3"/>
    <n v="26766"/>
    <s v="Sufficient"/>
    <n v="2703366"/>
    <n v="5353.2000000000007"/>
  </r>
  <r>
    <s v="P1922"/>
    <x v="3"/>
    <n v="148"/>
    <n v="42"/>
    <x v="0"/>
    <n v="31019"/>
    <s v="Sufficient"/>
    <n v="4590812"/>
    <n v="6203.8"/>
  </r>
  <r>
    <s v="P1923"/>
    <x v="0"/>
    <n v="96"/>
    <n v="16"/>
    <x v="0"/>
    <n v="22830"/>
    <s v="Sufficient"/>
    <n v="2191680"/>
    <n v="4566"/>
  </r>
  <r>
    <s v="P1924"/>
    <x v="2"/>
    <n v="57"/>
    <n v="45"/>
    <x v="0"/>
    <n v="57045"/>
    <s v="Sufficient"/>
    <n v="3251565"/>
    <n v="11409"/>
  </r>
  <r>
    <s v="P1925"/>
    <x v="5"/>
    <n v="93"/>
    <n v="15"/>
    <x v="3"/>
    <n v="57313"/>
    <s v="Sufficient"/>
    <n v="5330109"/>
    <n v="11462.6"/>
  </r>
  <r>
    <s v="P1926"/>
    <x v="2"/>
    <n v="124"/>
    <n v="24"/>
    <x v="0"/>
    <n v="53831"/>
    <s v="Sufficient"/>
    <n v="6675044"/>
    <n v="10766.2"/>
  </r>
  <r>
    <s v="P1927"/>
    <x v="0"/>
    <n v="186"/>
    <n v="39"/>
    <x v="4"/>
    <n v="59235"/>
    <s v="Sufficient"/>
    <n v="11017710"/>
    <n v="11847"/>
  </r>
  <r>
    <s v="P1928"/>
    <x v="0"/>
    <n v="136"/>
    <n v="34"/>
    <x v="2"/>
    <n v="67640"/>
    <s v="Sufficient"/>
    <n v="9199040"/>
    <n v="13528"/>
  </r>
  <r>
    <s v="P1929"/>
    <x v="0"/>
    <n v="110"/>
    <n v="10"/>
    <x v="1"/>
    <n v="33954"/>
    <s v="Sufficient"/>
    <n v="3734940"/>
    <n v="6790.8"/>
  </r>
  <r>
    <s v="P1930"/>
    <x v="2"/>
    <n v="22"/>
    <n v="16"/>
    <x v="1"/>
    <n v="66274"/>
    <s v="Sufficient"/>
    <n v="1458028"/>
    <n v="13254.800000000001"/>
  </r>
  <r>
    <s v="P1931"/>
    <x v="6"/>
    <n v="74"/>
    <n v="15"/>
    <x v="4"/>
    <n v="35166"/>
    <s v="Sufficient"/>
    <n v="2602284"/>
    <n v="7033.2000000000007"/>
  </r>
  <r>
    <s v="P1932"/>
    <x v="1"/>
    <n v="81"/>
    <n v="48"/>
    <x v="1"/>
    <n v="72354"/>
    <s v="Sufficient"/>
    <n v="5860674"/>
    <n v="14470.800000000001"/>
  </r>
  <r>
    <s v="P1933"/>
    <x v="2"/>
    <n v="65"/>
    <n v="44"/>
    <x v="3"/>
    <n v="3853"/>
    <s v="Sufficient"/>
    <n v="250445"/>
    <n v="770.6"/>
  </r>
  <r>
    <s v="P1934"/>
    <x v="3"/>
    <n v="168"/>
    <n v="24"/>
    <x v="2"/>
    <n v="30819"/>
    <s v="Sufficient"/>
    <n v="5177592"/>
    <n v="6163.8"/>
  </r>
  <r>
    <s v="P1935"/>
    <x v="7"/>
    <n v="40"/>
    <n v="29"/>
    <x v="0"/>
    <n v="2052"/>
    <s v="Sufficient"/>
    <n v="82080"/>
    <n v="410.40000000000003"/>
  </r>
  <r>
    <s v="P1936"/>
    <x v="0"/>
    <n v="113"/>
    <n v="16"/>
    <x v="0"/>
    <n v="22095"/>
    <s v="Sufficient"/>
    <n v="2496735"/>
    <n v="4419"/>
  </r>
  <r>
    <s v="P1937"/>
    <x v="5"/>
    <n v="168"/>
    <n v="18"/>
    <x v="3"/>
    <n v="68476"/>
    <s v="Sufficient"/>
    <n v="11503968"/>
    <n v="13695.2"/>
  </r>
  <r>
    <s v="P1938"/>
    <x v="2"/>
    <n v="138"/>
    <n v="40"/>
    <x v="4"/>
    <n v="54233"/>
    <s v="Sufficient"/>
    <n v="7484154"/>
    <n v="10846.6"/>
  </r>
  <r>
    <s v="P1939"/>
    <x v="2"/>
    <n v="32"/>
    <n v="16"/>
    <x v="4"/>
    <n v="30906"/>
    <s v="Sufficient"/>
    <n v="988992"/>
    <n v="6181.2000000000007"/>
  </r>
  <r>
    <s v="P1940"/>
    <x v="3"/>
    <n v="112"/>
    <n v="37"/>
    <x v="3"/>
    <n v="11101"/>
    <s v="Sufficient"/>
    <n v="1243312"/>
    <n v="2220.2000000000003"/>
  </r>
  <r>
    <s v="P1941"/>
    <x v="7"/>
    <n v="61"/>
    <n v="17"/>
    <x v="2"/>
    <n v="71846"/>
    <s v="Sufficient"/>
    <n v="4382606"/>
    <n v="14369.2"/>
  </r>
  <r>
    <s v="P1942"/>
    <x v="3"/>
    <n v="94"/>
    <n v="13"/>
    <x v="3"/>
    <n v="58312"/>
    <s v="Sufficient"/>
    <n v="5481328"/>
    <n v="11662.400000000001"/>
  </r>
  <r>
    <s v="P1943"/>
    <x v="3"/>
    <n v="179"/>
    <n v="28"/>
    <x v="0"/>
    <n v="9702"/>
    <s v="Sufficient"/>
    <n v="1736658"/>
    <n v="1940.4"/>
  </r>
  <r>
    <s v="P1944"/>
    <x v="5"/>
    <n v="127"/>
    <n v="47"/>
    <x v="3"/>
    <n v="45397"/>
    <s v="Sufficient"/>
    <n v="5765419"/>
    <n v="9079.4"/>
  </r>
  <r>
    <s v="P1945"/>
    <x v="3"/>
    <n v="148"/>
    <n v="50"/>
    <x v="2"/>
    <n v="30828"/>
    <s v="Sufficient"/>
    <n v="4562544"/>
    <n v="6165.6"/>
  </r>
  <r>
    <s v="P1946"/>
    <x v="1"/>
    <n v="66"/>
    <n v="29"/>
    <x v="2"/>
    <n v="11548"/>
    <s v="Sufficient"/>
    <n v="762168"/>
    <n v="2309.6"/>
  </r>
  <r>
    <s v="P1947"/>
    <x v="2"/>
    <n v="3"/>
    <n v="10"/>
    <x v="0"/>
    <n v="20503"/>
    <s v="Low Stock"/>
    <n v="61509"/>
    <n v="4100.6000000000004"/>
  </r>
  <r>
    <s v="P1948"/>
    <x v="5"/>
    <n v="1"/>
    <n v="49"/>
    <x v="1"/>
    <n v="10187"/>
    <s v="Low Stock"/>
    <n v="10187"/>
    <n v="2037.4"/>
  </r>
  <r>
    <s v="P1949"/>
    <x v="6"/>
    <n v="85"/>
    <n v="23"/>
    <x v="2"/>
    <n v="40820"/>
    <s v="Sufficient"/>
    <n v="3469700"/>
    <n v="8164"/>
  </r>
  <r>
    <s v="P1950"/>
    <x v="5"/>
    <n v="15"/>
    <n v="30"/>
    <x v="4"/>
    <n v="74485"/>
    <s v="Low Stock"/>
    <n v="1117275"/>
    <n v="14897"/>
  </r>
  <r>
    <s v="P1951"/>
    <x v="4"/>
    <n v="109"/>
    <n v="46"/>
    <x v="2"/>
    <n v="73178"/>
    <s v="Sufficient"/>
    <n v="7976402"/>
    <n v="14635.6"/>
  </r>
  <r>
    <s v="P1952"/>
    <x v="6"/>
    <n v="173"/>
    <n v="18"/>
    <x v="2"/>
    <n v="16795"/>
    <s v="Sufficient"/>
    <n v="2905535"/>
    <n v="3359"/>
  </r>
  <r>
    <s v="P1953"/>
    <x v="4"/>
    <n v="27"/>
    <n v="10"/>
    <x v="1"/>
    <n v="50956"/>
    <s v="Sufficient"/>
    <n v="1375812"/>
    <n v="10191.200000000001"/>
  </r>
  <r>
    <s v="P1954"/>
    <x v="7"/>
    <n v="37"/>
    <n v="25"/>
    <x v="1"/>
    <n v="55337"/>
    <s v="Sufficient"/>
    <n v="2047469"/>
    <n v="11067.400000000001"/>
  </r>
  <r>
    <s v="P1955"/>
    <x v="6"/>
    <n v="73"/>
    <n v="36"/>
    <x v="2"/>
    <n v="30220"/>
    <s v="Sufficient"/>
    <n v="2206060"/>
    <n v="6044"/>
  </r>
  <r>
    <s v="P1956"/>
    <x v="0"/>
    <n v="18"/>
    <n v="15"/>
    <x v="3"/>
    <n v="76671"/>
    <s v="Sufficient"/>
    <n v="1380078"/>
    <n v="15334.2"/>
  </r>
  <r>
    <s v="P1957"/>
    <x v="1"/>
    <n v="133"/>
    <n v="43"/>
    <x v="0"/>
    <n v="17312"/>
    <s v="Sufficient"/>
    <n v="2302496"/>
    <n v="3462.4"/>
  </r>
  <r>
    <s v="P1958"/>
    <x v="3"/>
    <n v="194"/>
    <n v="14"/>
    <x v="3"/>
    <n v="65241"/>
    <s v="Sufficient"/>
    <n v="12656754"/>
    <n v="13048.2"/>
  </r>
  <r>
    <s v="P1959"/>
    <x v="1"/>
    <n v="72"/>
    <n v="20"/>
    <x v="3"/>
    <n v="52773"/>
    <s v="Sufficient"/>
    <n v="3799656"/>
    <n v="10554.6"/>
  </r>
  <r>
    <s v="P1960"/>
    <x v="7"/>
    <n v="128"/>
    <n v="38"/>
    <x v="1"/>
    <n v="55394"/>
    <s v="Sufficient"/>
    <n v="7090432"/>
    <n v="11078.800000000001"/>
  </r>
  <r>
    <s v="P1961"/>
    <x v="0"/>
    <n v="104"/>
    <n v="33"/>
    <x v="1"/>
    <n v="74719"/>
    <s v="Sufficient"/>
    <n v="7770776"/>
    <n v="14943.800000000001"/>
  </r>
  <r>
    <s v="P1962"/>
    <x v="0"/>
    <n v="49"/>
    <n v="47"/>
    <x v="4"/>
    <n v="53167"/>
    <s v="Sufficient"/>
    <n v="2605183"/>
    <n v="10633.400000000001"/>
  </r>
  <r>
    <s v="P1963"/>
    <x v="5"/>
    <n v="186"/>
    <n v="21"/>
    <x v="0"/>
    <n v="16350"/>
    <s v="Sufficient"/>
    <n v="3041100"/>
    <n v="3270"/>
  </r>
  <r>
    <s v="P1964"/>
    <x v="5"/>
    <n v="36"/>
    <n v="29"/>
    <x v="3"/>
    <n v="73693"/>
    <s v="Sufficient"/>
    <n v="2652948"/>
    <n v="14738.6"/>
  </r>
  <r>
    <s v="P1965"/>
    <x v="2"/>
    <n v="36"/>
    <n v="12"/>
    <x v="1"/>
    <n v="75983"/>
    <s v="Sufficient"/>
    <n v="2735388"/>
    <n v="15196.6"/>
  </r>
  <r>
    <s v="P1966"/>
    <x v="3"/>
    <n v="175"/>
    <n v="36"/>
    <x v="3"/>
    <n v="54874"/>
    <s v="Sufficient"/>
    <n v="9602950"/>
    <n v="10974.800000000001"/>
  </r>
  <r>
    <s v="P1967"/>
    <x v="0"/>
    <n v="57"/>
    <n v="45"/>
    <x v="3"/>
    <n v="13310"/>
    <s v="Sufficient"/>
    <n v="758670"/>
    <n v="2662"/>
  </r>
  <r>
    <s v="P1968"/>
    <x v="2"/>
    <n v="135"/>
    <n v="33"/>
    <x v="4"/>
    <n v="16392"/>
    <s v="Sufficient"/>
    <n v="2212920"/>
    <n v="3278.4"/>
  </r>
  <r>
    <s v="P1969"/>
    <x v="6"/>
    <n v="156"/>
    <n v="25"/>
    <x v="1"/>
    <n v="50837"/>
    <s v="Sufficient"/>
    <n v="7930572"/>
    <n v="10167.400000000001"/>
  </r>
  <r>
    <s v="P1970"/>
    <x v="2"/>
    <n v="92"/>
    <n v="28"/>
    <x v="0"/>
    <n v="72969"/>
    <s v="Sufficient"/>
    <n v="6713148"/>
    <n v="14593.800000000001"/>
  </r>
  <r>
    <s v="P1971"/>
    <x v="2"/>
    <n v="42"/>
    <n v="16"/>
    <x v="0"/>
    <n v="19889"/>
    <s v="Sufficient"/>
    <n v="835338"/>
    <n v="3977.8"/>
  </r>
  <r>
    <s v="P1972"/>
    <x v="1"/>
    <n v="49"/>
    <n v="17"/>
    <x v="4"/>
    <n v="45667"/>
    <s v="Sufficient"/>
    <n v="2237683"/>
    <n v="9133.4"/>
  </r>
  <r>
    <s v="P1973"/>
    <x v="2"/>
    <n v="192"/>
    <n v="45"/>
    <x v="2"/>
    <n v="6404"/>
    <s v="Sufficient"/>
    <n v="1229568"/>
    <n v="1280.8000000000002"/>
  </r>
  <r>
    <s v="P1974"/>
    <x v="2"/>
    <n v="181"/>
    <n v="23"/>
    <x v="1"/>
    <n v="40104"/>
    <s v="Sufficient"/>
    <n v="7258824"/>
    <n v="8020.8"/>
  </r>
  <r>
    <s v="P1975"/>
    <x v="3"/>
    <n v="187"/>
    <n v="35"/>
    <x v="0"/>
    <n v="66434"/>
    <s v="Sufficient"/>
    <n v="12423158"/>
    <n v="13286.800000000001"/>
  </r>
  <r>
    <s v="P1976"/>
    <x v="5"/>
    <n v="68"/>
    <n v="48"/>
    <x v="2"/>
    <n v="51820"/>
    <s v="Sufficient"/>
    <n v="3523760"/>
    <n v="10364"/>
  </r>
  <r>
    <s v="P1977"/>
    <x v="0"/>
    <n v="136"/>
    <n v="27"/>
    <x v="3"/>
    <n v="65869"/>
    <s v="Sufficient"/>
    <n v="8958184"/>
    <n v="13173.800000000001"/>
  </r>
  <r>
    <s v="P1978"/>
    <x v="3"/>
    <n v="157"/>
    <n v="41"/>
    <x v="0"/>
    <n v="77589"/>
    <s v="Sufficient"/>
    <n v="12181473"/>
    <n v="15517.800000000001"/>
  </r>
  <r>
    <s v="P1979"/>
    <x v="1"/>
    <n v="124"/>
    <n v="29"/>
    <x v="2"/>
    <n v="76975"/>
    <s v="Sufficient"/>
    <n v="9544900"/>
    <n v="15395"/>
  </r>
  <r>
    <s v="P1980"/>
    <x v="7"/>
    <n v="23"/>
    <n v="16"/>
    <x v="4"/>
    <n v="33740"/>
    <s v="Sufficient"/>
    <n v="776020"/>
    <n v="6748"/>
  </r>
  <r>
    <s v="P1981"/>
    <x v="2"/>
    <n v="115"/>
    <n v="26"/>
    <x v="4"/>
    <n v="32348"/>
    <s v="Sufficient"/>
    <n v="3720020"/>
    <n v="6469.6"/>
  </r>
  <r>
    <s v="P1982"/>
    <x v="6"/>
    <n v="115"/>
    <n v="39"/>
    <x v="0"/>
    <n v="67026"/>
    <s v="Sufficient"/>
    <n v="7707990"/>
    <n v="13405.2"/>
  </r>
  <r>
    <s v="P1983"/>
    <x v="4"/>
    <n v="188"/>
    <n v="10"/>
    <x v="0"/>
    <n v="2258"/>
    <s v="Sufficient"/>
    <n v="424504"/>
    <n v="451.6"/>
  </r>
  <r>
    <s v="P1984"/>
    <x v="5"/>
    <n v="73"/>
    <n v="26"/>
    <x v="2"/>
    <n v="65768"/>
    <s v="Sufficient"/>
    <n v="4801064"/>
    <n v="13153.6"/>
  </r>
  <r>
    <s v="P1985"/>
    <x v="7"/>
    <n v="186"/>
    <n v="20"/>
    <x v="4"/>
    <n v="47201"/>
    <s v="Sufficient"/>
    <n v="8779386"/>
    <n v="9440.2000000000007"/>
  </r>
  <r>
    <s v="P1986"/>
    <x v="3"/>
    <n v="111"/>
    <n v="27"/>
    <x v="3"/>
    <n v="74389"/>
    <s v="Sufficient"/>
    <n v="8257179"/>
    <n v="14877.800000000001"/>
  </r>
  <r>
    <s v="P1987"/>
    <x v="5"/>
    <n v="105"/>
    <n v="25"/>
    <x v="4"/>
    <n v="27873"/>
    <s v="Sufficient"/>
    <n v="2926665"/>
    <n v="5574.6"/>
  </r>
  <r>
    <s v="P1988"/>
    <x v="3"/>
    <n v="139"/>
    <n v="26"/>
    <x v="4"/>
    <n v="36089"/>
    <s v="Sufficient"/>
    <n v="5016371"/>
    <n v="7217.8"/>
  </r>
  <r>
    <s v="P1989"/>
    <x v="5"/>
    <n v="94"/>
    <n v="36"/>
    <x v="1"/>
    <n v="65836"/>
    <s v="Sufficient"/>
    <n v="6188584"/>
    <n v="13167.2"/>
  </r>
  <r>
    <s v="P1990"/>
    <x v="5"/>
    <n v="179"/>
    <n v="33"/>
    <x v="1"/>
    <n v="6791"/>
    <s v="Sufficient"/>
    <n v="1215589"/>
    <n v="1358.2"/>
  </r>
  <r>
    <s v="P1991"/>
    <x v="6"/>
    <n v="180"/>
    <n v="43"/>
    <x v="1"/>
    <n v="48592"/>
    <s v="Sufficient"/>
    <n v="8746560"/>
    <n v="9718.4"/>
  </r>
  <r>
    <s v="P1992"/>
    <x v="7"/>
    <n v="8"/>
    <n v="49"/>
    <x v="3"/>
    <n v="59869"/>
    <s v="Low Stock"/>
    <n v="478952"/>
    <n v="11973.800000000001"/>
  </r>
  <r>
    <s v="P1993"/>
    <x v="6"/>
    <n v="41"/>
    <n v="27"/>
    <x v="0"/>
    <n v="77890"/>
    <s v="Sufficient"/>
    <n v="3193490"/>
    <n v="15578"/>
  </r>
  <r>
    <s v="P1994"/>
    <x v="5"/>
    <n v="17"/>
    <n v="14"/>
    <x v="4"/>
    <n v="36195"/>
    <s v="Sufficient"/>
    <n v="615315"/>
    <n v="7239"/>
  </r>
  <r>
    <s v="P1995"/>
    <x v="6"/>
    <n v="26"/>
    <n v="11"/>
    <x v="1"/>
    <n v="1322"/>
    <s v="Sufficient"/>
    <n v="34372"/>
    <n v="264.40000000000003"/>
  </r>
  <r>
    <s v="P1996"/>
    <x v="1"/>
    <n v="49"/>
    <n v="21"/>
    <x v="2"/>
    <n v="44554"/>
    <s v="Sufficient"/>
    <n v="2183146"/>
    <n v="8910.8000000000011"/>
  </r>
  <r>
    <s v="P1997"/>
    <x v="4"/>
    <n v="50"/>
    <n v="50"/>
    <x v="4"/>
    <n v="40547"/>
    <s v="Low Stock"/>
    <n v="2027350"/>
    <n v="8109.4000000000005"/>
  </r>
  <r>
    <s v="P1998"/>
    <x v="1"/>
    <n v="32"/>
    <n v="23"/>
    <x v="0"/>
    <n v="49881"/>
    <s v="Sufficient"/>
    <n v="1596192"/>
    <n v="9976.2000000000007"/>
  </r>
  <r>
    <s v="P1999"/>
    <x v="2"/>
    <n v="59"/>
    <n v="21"/>
    <x v="2"/>
    <n v="65047"/>
    <s v="Sufficient"/>
    <n v="3837773"/>
    <n v="13009.4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4378E-F1E6-4D21-B953-5CC9357055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9">
    <pivotField showAll="0"/>
    <pivotField axis="axisRow" showAll="0" sortType="descending">
      <items count="9">
        <item x="7"/>
        <item x="3"/>
        <item x="5"/>
        <item x="1"/>
        <item x="2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3"/>
    </i>
    <i>
      <x v="7"/>
    </i>
    <i>
      <x v="5"/>
    </i>
    <i>
      <x/>
    </i>
    <i>
      <x v="2"/>
    </i>
    <i>
      <x v="1"/>
    </i>
    <i>
      <x v="4"/>
    </i>
    <i>
      <x v="6"/>
    </i>
    <i t="grand">
      <x/>
    </i>
  </rowItems>
  <colItems count="1">
    <i/>
  </colItems>
  <dataFields count="1">
    <dataField name="Sum of Stoc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D79B5-8DA4-4ED3-A03A-760083D012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showAll="0"/>
    <pivotField showAll="0"/>
    <pivotField showAll="0"/>
    <pivotField showAll="0"/>
    <pivotField axis="axisRow" showAll="0" sortType="descending">
      <items count="6">
        <item x="0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Sum of Invetory 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5C484D-215B-48A9-9E42-E73EC0E2568F}" name="Table3" displayName="Table3" ref="A1:I1001" totalsRowShown="0" headerRowDxfId="12" dataDxfId="11">
  <autoFilter ref="A1:I1001" xr:uid="{AD5C484D-215B-48A9-9E42-E73EC0E2568F}"/>
  <tableColumns count="9">
    <tableColumn id="1" xr3:uid="{C46FE46C-B1A0-4AFB-94E7-297FB15011CA}" name="Product_ID" dataDxfId="10"/>
    <tableColumn id="2" xr3:uid="{EAB62C9D-53A0-412D-BD9F-077C01BDCBF8}" name="Product" dataDxfId="9"/>
    <tableColumn id="3" xr3:uid="{A5BA6DFE-E208-49DC-8BB6-167B318A69FE}" name="Stock" dataDxfId="8"/>
    <tableColumn id="4" xr3:uid="{8123B0D4-AEE7-4539-8F26-6CCB79A9E032}" name="Reorder_Level" dataDxfId="7"/>
    <tableColumn id="5" xr3:uid="{2213A40F-8A41-4C32-84DD-BDC8F9E04C3D}" name="Supplier" dataDxfId="6"/>
    <tableColumn id="6" xr3:uid="{A1D4F698-1A45-4C72-AE70-6E4B44D47516}" name="Price" dataDxfId="5"/>
    <tableColumn id="7" xr3:uid="{D58FC5AE-E3F7-415E-98AA-59F1E554705B}" name="Stock Status" dataDxfId="4">
      <calculatedColumnFormula>IF(C2=0,"Pending",IF(C2&lt;=D2,"Low Stock", "Sufficient"))</calculatedColumnFormula>
    </tableColumn>
    <tableColumn id="8" xr3:uid="{E29C2827-0668-4704-A10C-248946F67B18}" name="Invetory Value" dataDxfId="3">
      <calculatedColumnFormula>C2*F2</calculatedColumnFormula>
    </tableColumn>
    <tableColumn id="9" xr3:uid="{45DF626B-7A58-4733-B59D-CD98E26078CA}" name="Profit Margin" dataDxfId="2">
      <calculatedColumnFormula>F2*0.2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62FC-CEC1-48FA-B839-60169CAB825C}">
  <dimension ref="A1:I1001"/>
  <sheetViews>
    <sheetView tabSelected="1" topLeftCell="A4" workbookViewId="0">
      <selection activeCell="M8" sqref="M8"/>
    </sheetView>
  </sheetViews>
  <sheetFormatPr defaultRowHeight="14.4" x14ac:dyDescent="0.3"/>
  <cols>
    <col min="1" max="1" width="12.33203125" customWidth="1"/>
    <col min="2" max="2" width="11.109375" bestFit="1" customWidth="1"/>
    <col min="3" max="3" width="7.5546875" customWidth="1"/>
    <col min="4" max="4" width="14.88671875" customWidth="1"/>
    <col min="5" max="5" width="12.77734375" bestFit="1" customWidth="1"/>
    <col min="6" max="6" width="7" customWidth="1"/>
    <col min="7" max="7" width="13.21875" customWidth="1"/>
    <col min="8" max="8" width="15.21875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1019</v>
      </c>
      <c r="H1" s="1" t="s">
        <v>1020</v>
      </c>
      <c r="I1" s="1" t="s">
        <v>1021</v>
      </c>
    </row>
    <row r="2" spans="1:9" x14ac:dyDescent="0.3">
      <c r="A2" s="1" t="s">
        <v>6</v>
      </c>
      <c r="B2" s="1" t="s">
        <v>7</v>
      </c>
      <c r="C2" s="1">
        <v>90</v>
      </c>
      <c r="D2" s="1">
        <v>28</v>
      </c>
      <c r="E2" s="1" t="s">
        <v>8</v>
      </c>
      <c r="F2" s="1">
        <v>30895</v>
      </c>
      <c r="G2" s="1" t="str">
        <f>IF(C2=0,"Pending",IF(C2&lt;=D2,"Low Stock", "Sufficient"))</f>
        <v>Sufficient</v>
      </c>
      <c r="H2" s="1">
        <f>C2*F2</f>
        <v>2780550</v>
      </c>
      <c r="I2" s="1">
        <f>F2*0.2</f>
        <v>6179</v>
      </c>
    </row>
    <row r="3" spans="1:9" x14ac:dyDescent="0.3">
      <c r="A3" s="1" t="s">
        <v>9</v>
      </c>
      <c r="B3" s="1" t="s">
        <v>7</v>
      </c>
      <c r="C3" s="1">
        <v>141</v>
      </c>
      <c r="D3" s="1">
        <v>41</v>
      </c>
      <c r="E3" s="1" t="s">
        <v>10</v>
      </c>
      <c r="F3" s="1">
        <v>57504</v>
      </c>
      <c r="G3" s="1" t="str">
        <f t="shared" ref="G3:G66" si="0">IF(C3=0,"Pending",IF(C3&lt;=D3,"Low Stock", "Sufficient"))</f>
        <v>Sufficient</v>
      </c>
      <c r="H3" s="1">
        <f t="shared" ref="H3:H66" si="1">C3*F3</f>
        <v>8108064</v>
      </c>
      <c r="I3" s="1">
        <f t="shared" ref="I3:I66" si="2">F3*0.2</f>
        <v>11500.800000000001</v>
      </c>
    </row>
    <row r="4" spans="1:9" x14ac:dyDescent="0.3">
      <c r="A4" s="1" t="s">
        <v>11</v>
      </c>
      <c r="B4" s="1" t="s">
        <v>12</v>
      </c>
      <c r="C4" s="1">
        <v>99</v>
      </c>
      <c r="D4" s="1">
        <v>36</v>
      </c>
      <c r="E4" s="1" t="s">
        <v>13</v>
      </c>
      <c r="F4" s="1">
        <v>75038</v>
      </c>
      <c r="G4" s="1" t="str">
        <f t="shared" si="0"/>
        <v>Sufficient</v>
      </c>
      <c r="H4" s="1">
        <f t="shared" si="1"/>
        <v>7428762</v>
      </c>
      <c r="I4" s="1">
        <f t="shared" si="2"/>
        <v>15007.6</v>
      </c>
    </row>
    <row r="5" spans="1:9" x14ac:dyDescent="0.3">
      <c r="A5" s="1" t="s">
        <v>14</v>
      </c>
      <c r="B5" s="1" t="s">
        <v>15</v>
      </c>
      <c r="C5" s="1">
        <v>2</v>
      </c>
      <c r="D5" s="1">
        <v>24</v>
      </c>
      <c r="E5" s="1" t="s">
        <v>16</v>
      </c>
      <c r="F5" s="1">
        <v>38582</v>
      </c>
      <c r="G5" s="1" t="str">
        <f t="shared" si="0"/>
        <v>Low Stock</v>
      </c>
      <c r="H5" s="1">
        <f t="shared" si="1"/>
        <v>77164</v>
      </c>
      <c r="I5" s="1">
        <f t="shared" si="2"/>
        <v>7716.4000000000005</v>
      </c>
    </row>
    <row r="6" spans="1:9" x14ac:dyDescent="0.3">
      <c r="A6" s="1" t="s">
        <v>17</v>
      </c>
      <c r="B6" s="1" t="s">
        <v>18</v>
      </c>
      <c r="C6" s="1">
        <v>108</v>
      </c>
      <c r="D6" s="1">
        <v>38</v>
      </c>
      <c r="E6" s="1" t="s">
        <v>10</v>
      </c>
      <c r="F6" s="1">
        <v>10016</v>
      </c>
      <c r="G6" s="1" t="str">
        <f t="shared" si="0"/>
        <v>Sufficient</v>
      </c>
      <c r="H6" s="1">
        <f t="shared" si="1"/>
        <v>1081728</v>
      </c>
      <c r="I6" s="1">
        <f t="shared" si="2"/>
        <v>2003.2</v>
      </c>
    </row>
    <row r="7" spans="1:9" x14ac:dyDescent="0.3">
      <c r="A7" s="1" t="s">
        <v>19</v>
      </c>
      <c r="B7" s="1" t="s">
        <v>20</v>
      </c>
      <c r="C7" s="1">
        <v>158</v>
      </c>
      <c r="D7" s="1">
        <v>48</v>
      </c>
      <c r="E7" s="1" t="s">
        <v>13</v>
      </c>
      <c r="F7" s="1">
        <v>65852</v>
      </c>
      <c r="G7" s="1" t="str">
        <f t="shared" si="0"/>
        <v>Sufficient</v>
      </c>
      <c r="H7" s="1">
        <f t="shared" si="1"/>
        <v>10404616</v>
      </c>
      <c r="I7" s="1">
        <f t="shared" si="2"/>
        <v>13170.400000000001</v>
      </c>
    </row>
    <row r="8" spans="1:9" x14ac:dyDescent="0.3">
      <c r="A8" s="1" t="s">
        <v>21</v>
      </c>
      <c r="B8" s="1" t="s">
        <v>12</v>
      </c>
      <c r="C8" s="1">
        <v>82</v>
      </c>
      <c r="D8" s="1">
        <v>21</v>
      </c>
      <c r="E8" s="1" t="s">
        <v>16</v>
      </c>
      <c r="F8" s="1">
        <v>40695</v>
      </c>
      <c r="G8" s="1" t="str">
        <f t="shared" si="0"/>
        <v>Sufficient</v>
      </c>
      <c r="H8" s="1">
        <f t="shared" si="1"/>
        <v>3336990</v>
      </c>
      <c r="I8" s="1">
        <f t="shared" si="2"/>
        <v>8139</v>
      </c>
    </row>
    <row r="9" spans="1:9" x14ac:dyDescent="0.3">
      <c r="A9" s="1" t="s">
        <v>22</v>
      </c>
      <c r="B9" s="1" t="s">
        <v>23</v>
      </c>
      <c r="C9" s="1">
        <v>71</v>
      </c>
      <c r="D9" s="1">
        <v>16</v>
      </c>
      <c r="E9" s="1" t="s">
        <v>13</v>
      </c>
      <c r="F9" s="1">
        <v>38819</v>
      </c>
      <c r="G9" s="1" t="str">
        <f t="shared" si="0"/>
        <v>Sufficient</v>
      </c>
      <c r="H9" s="1">
        <f t="shared" si="1"/>
        <v>2756149</v>
      </c>
      <c r="I9" s="1">
        <f t="shared" si="2"/>
        <v>7763.8</v>
      </c>
    </row>
    <row r="10" spans="1:9" x14ac:dyDescent="0.3">
      <c r="A10" s="1" t="s">
        <v>24</v>
      </c>
      <c r="B10" s="1" t="s">
        <v>25</v>
      </c>
      <c r="C10" s="1">
        <v>174</v>
      </c>
      <c r="D10" s="1">
        <v>37</v>
      </c>
      <c r="E10" s="1" t="s">
        <v>26</v>
      </c>
      <c r="F10" s="1">
        <v>13666</v>
      </c>
      <c r="G10" s="1" t="str">
        <f t="shared" si="0"/>
        <v>Sufficient</v>
      </c>
      <c r="H10" s="1">
        <f t="shared" si="1"/>
        <v>2377884</v>
      </c>
      <c r="I10" s="1">
        <f t="shared" si="2"/>
        <v>2733.2000000000003</v>
      </c>
    </row>
    <row r="11" spans="1:9" x14ac:dyDescent="0.3">
      <c r="A11" s="1" t="s">
        <v>27</v>
      </c>
      <c r="B11" s="1" t="s">
        <v>18</v>
      </c>
      <c r="C11" s="1">
        <v>199</v>
      </c>
      <c r="D11" s="1">
        <v>29</v>
      </c>
      <c r="E11" s="1" t="s">
        <v>13</v>
      </c>
      <c r="F11" s="1">
        <v>30774</v>
      </c>
      <c r="G11" s="1" t="str">
        <f t="shared" si="0"/>
        <v>Sufficient</v>
      </c>
      <c r="H11" s="1">
        <f t="shared" si="1"/>
        <v>6124026</v>
      </c>
      <c r="I11" s="1">
        <f t="shared" si="2"/>
        <v>6154.8</v>
      </c>
    </row>
    <row r="12" spans="1:9" x14ac:dyDescent="0.3">
      <c r="A12" s="1" t="s">
        <v>28</v>
      </c>
      <c r="B12" s="1" t="s">
        <v>29</v>
      </c>
      <c r="C12" s="1">
        <v>21</v>
      </c>
      <c r="D12" s="1">
        <v>31</v>
      </c>
      <c r="E12" s="1" t="s">
        <v>10</v>
      </c>
      <c r="F12" s="1">
        <v>70928</v>
      </c>
      <c r="G12" s="1" t="str">
        <f t="shared" si="0"/>
        <v>Low Stock</v>
      </c>
      <c r="H12" s="1">
        <f t="shared" si="1"/>
        <v>1489488</v>
      </c>
      <c r="I12" s="1">
        <f t="shared" si="2"/>
        <v>14185.6</v>
      </c>
    </row>
    <row r="13" spans="1:9" x14ac:dyDescent="0.3">
      <c r="A13" s="1" t="s">
        <v>30</v>
      </c>
      <c r="B13" s="1" t="s">
        <v>12</v>
      </c>
      <c r="C13" s="1">
        <v>175</v>
      </c>
      <c r="D13" s="1">
        <v>28</v>
      </c>
      <c r="E13" s="1" t="s">
        <v>8</v>
      </c>
      <c r="F13" s="1">
        <v>64619</v>
      </c>
      <c r="G13" s="1" t="str">
        <f t="shared" si="0"/>
        <v>Sufficient</v>
      </c>
      <c r="H13" s="1">
        <f t="shared" si="1"/>
        <v>11308325</v>
      </c>
      <c r="I13" s="1">
        <f t="shared" si="2"/>
        <v>12923.800000000001</v>
      </c>
    </row>
    <row r="14" spans="1:9" x14ac:dyDescent="0.3">
      <c r="A14" s="1" t="s">
        <v>31</v>
      </c>
      <c r="B14" s="1" t="s">
        <v>20</v>
      </c>
      <c r="C14" s="1">
        <v>105</v>
      </c>
      <c r="D14" s="1">
        <v>48</v>
      </c>
      <c r="E14" s="1" t="s">
        <v>8</v>
      </c>
      <c r="F14" s="1">
        <v>44844</v>
      </c>
      <c r="G14" s="1" t="str">
        <f t="shared" si="0"/>
        <v>Sufficient</v>
      </c>
      <c r="H14" s="1">
        <f t="shared" si="1"/>
        <v>4708620</v>
      </c>
      <c r="I14" s="1">
        <f t="shared" si="2"/>
        <v>8968.8000000000011</v>
      </c>
    </row>
    <row r="15" spans="1:9" x14ac:dyDescent="0.3">
      <c r="A15" s="1" t="s">
        <v>32</v>
      </c>
      <c r="B15" s="1" t="s">
        <v>7</v>
      </c>
      <c r="C15" s="1">
        <v>150</v>
      </c>
      <c r="D15" s="1">
        <v>35</v>
      </c>
      <c r="E15" s="1" t="s">
        <v>26</v>
      </c>
      <c r="F15" s="1">
        <v>45643</v>
      </c>
      <c r="G15" s="1" t="str">
        <f t="shared" si="0"/>
        <v>Sufficient</v>
      </c>
      <c r="H15" s="1">
        <f t="shared" si="1"/>
        <v>6846450</v>
      </c>
      <c r="I15" s="1">
        <f t="shared" si="2"/>
        <v>9128.6</v>
      </c>
    </row>
    <row r="16" spans="1:9" x14ac:dyDescent="0.3">
      <c r="A16" s="1" t="s">
        <v>33</v>
      </c>
      <c r="B16" s="1" t="s">
        <v>25</v>
      </c>
      <c r="C16" s="1">
        <v>160</v>
      </c>
      <c r="D16" s="1">
        <v>50</v>
      </c>
      <c r="E16" s="1" t="s">
        <v>16</v>
      </c>
      <c r="F16" s="1">
        <v>60348</v>
      </c>
      <c r="G16" s="1" t="str">
        <f t="shared" si="0"/>
        <v>Sufficient</v>
      </c>
      <c r="H16" s="1">
        <f t="shared" si="1"/>
        <v>9655680</v>
      </c>
      <c r="I16" s="1">
        <f t="shared" si="2"/>
        <v>12069.6</v>
      </c>
    </row>
    <row r="17" spans="1:9" x14ac:dyDescent="0.3">
      <c r="A17" s="1" t="s">
        <v>34</v>
      </c>
      <c r="B17" s="1" t="s">
        <v>20</v>
      </c>
      <c r="C17" s="1">
        <v>13</v>
      </c>
      <c r="D17" s="1">
        <v>14</v>
      </c>
      <c r="E17" s="1" t="s">
        <v>8</v>
      </c>
      <c r="F17" s="1">
        <v>54972</v>
      </c>
      <c r="G17" s="1" t="str">
        <f t="shared" si="0"/>
        <v>Low Stock</v>
      </c>
      <c r="H17" s="1">
        <f t="shared" si="1"/>
        <v>714636</v>
      </c>
      <c r="I17" s="1">
        <f t="shared" si="2"/>
        <v>10994.400000000001</v>
      </c>
    </row>
    <row r="18" spans="1:9" x14ac:dyDescent="0.3">
      <c r="A18" s="1" t="s">
        <v>35</v>
      </c>
      <c r="B18" s="1" t="s">
        <v>20</v>
      </c>
      <c r="C18" s="1">
        <v>96</v>
      </c>
      <c r="D18" s="1">
        <v>42</v>
      </c>
      <c r="E18" s="1" t="s">
        <v>13</v>
      </c>
      <c r="F18" s="1">
        <v>59523</v>
      </c>
      <c r="G18" s="1" t="str">
        <f t="shared" si="0"/>
        <v>Sufficient</v>
      </c>
      <c r="H18" s="1">
        <f t="shared" si="1"/>
        <v>5714208</v>
      </c>
      <c r="I18" s="1">
        <f t="shared" si="2"/>
        <v>11904.6</v>
      </c>
    </row>
    <row r="19" spans="1:9" x14ac:dyDescent="0.3">
      <c r="A19" s="1" t="s">
        <v>36</v>
      </c>
      <c r="B19" s="1" t="s">
        <v>18</v>
      </c>
      <c r="C19" s="1">
        <v>146</v>
      </c>
      <c r="D19" s="1">
        <v>46</v>
      </c>
      <c r="E19" s="1" t="s">
        <v>26</v>
      </c>
      <c r="F19" s="1">
        <v>2066</v>
      </c>
      <c r="G19" s="1" t="str">
        <f t="shared" si="0"/>
        <v>Sufficient</v>
      </c>
      <c r="H19" s="1">
        <f t="shared" si="1"/>
        <v>301636</v>
      </c>
      <c r="I19" s="1">
        <f t="shared" si="2"/>
        <v>413.20000000000005</v>
      </c>
    </row>
    <row r="20" spans="1:9" x14ac:dyDescent="0.3">
      <c r="A20" s="1" t="s">
        <v>37</v>
      </c>
      <c r="B20" s="1" t="s">
        <v>18</v>
      </c>
      <c r="C20" s="1">
        <v>3</v>
      </c>
      <c r="D20" s="1">
        <v>29</v>
      </c>
      <c r="E20" s="1" t="s">
        <v>26</v>
      </c>
      <c r="F20" s="1">
        <v>62725</v>
      </c>
      <c r="G20" s="1" t="str">
        <f t="shared" si="0"/>
        <v>Low Stock</v>
      </c>
      <c r="H20" s="1">
        <f t="shared" si="1"/>
        <v>188175</v>
      </c>
      <c r="I20" s="1">
        <f t="shared" si="2"/>
        <v>12545</v>
      </c>
    </row>
    <row r="21" spans="1:9" x14ac:dyDescent="0.3">
      <c r="A21" s="1" t="s">
        <v>38</v>
      </c>
      <c r="B21" s="1" t="s">
        <v>18</v>
      </c>
      <c r="C21" s="1">
        <v>58</v>
      </c>
      <c r="D21" s="1">
        <v>18</v>
      </c>
      <c r="E21" s="1" t="s">
        <v>26</v>
      </c>
      <c r="F21" s="1">
        <v>28696</v>
      </c>
      <c r="G21" s="1" t="str">
        <f t="shared" si="0"/>
        <v>Sufficient</v>
      </c>
      <c r="H21" s="1">
        <f t="shared" si="1"/>
        <v>1664368</v>
      </c>
      <c r="I21" s="1">
        <f t="shared" si="2"/>
        <v>5739.2000000000007</v>
      </c>
    </row>
    <row r="22" spans="1:9" x14ac:dyDescent="0.3">
      <c r="A22" s="1" t="s">
        <v>39</v>
      </c>
      <c r="B22" s="1" t="s">
        <v>20</v>
      </c>
      <c r="C22" s="1">
        <v>71</v>
      </c>
      <c r="D22" s="1">
        <v>23</v>
      </c>
      <c r="E22" s="1" t="s">
        <v>8</v>
      </c>
      <c r="F22" s="1">
        <v>33297</v>
      </c>
      <c r="G22" s="1" t="str">
        <f t="shared" si="0"/>
        <v>Sufficient</v>
      </c>
      <c r="H22" s="1">
        <f t="shared" si="1"/>
        <v>2364087</v>
      </c>
      <c r="I22" s="1">
        <f t="shared" si="2"/>
        <v>6659.4000000000005</v>
      </c>
    </row>
    <row r="23" spans="1:9" x14ac:dyDescent="0.3">
      <c r="A23" s="1" t="s">
        <v>40</v>
      </c>
      <c r="B23" s="1" t="s">
        <v>29</v>
      </c>
      <c r="C23" s="1">
        <v>193</v>
      </c>
      <c r="D23" s="1">
        <v>25</v>
      </c>
      <c r="E23" s="1" t="s">
        <v>8</v>
      </c>
      <c r="F23" s="1">
        <v>9344</v>
      </c>
      <c r="G23" s="1" t="str">
        <f t="shared" si="0"/>
        <v>Sufficient</v>
      </c>
      <c r="H23" s="1">
        <f t="shared" si="1"/>
        <v>1803392</v>
      </c>
      <c r="I23" s="1">
        <f t="shared" si="2"/>
        <v>1868.8000000000002</v>
      </c>
    </row>
    <row r="24" spans="1:9" x14ac:dyDescent="0.3">
      <c r="A24" s="1" t="s">
        <v>41</v>
      </c>
      <c r="B24" s="1" t="s">
        <v>12</v>
      </c>
      <c r="C24" s="1">
        <v>55</v>
      </c>
      <c r="D24" s="1">
        <v>42</v>
      </c>
      <c r="E24" s="1" t="s">
        <v>10</v>
      </c>
      <c r="F24" s="1">
        <v>63390</v>
      </c>
      <c r="G24" s="1" t="str">
        <f t="shared" si="0"/>
        <v>Sufficient</v>
      </c>
      <c r="H24" s="1">
        <f t="shared" si="1"/>
        <v>3486450</v>
      </c>
      <c r="I24" s="1">
        <f t="shared" si="2"/>
        <v>12678</v>
      </c>
    </row>
    <row r="25" spans="1:9" x14ac:dyDescent="0.3">
      <c r="A25" s="1" t="s">
        <v>42</v>
      </c>
      <c r="B25" s="1" t="s">
        <v>18</v>
      </c>
      <c r="C25" s="1">
        <v>98</v>
      </c>
      <c r="D25" s="1">
        <v>33</v>
      </c>
      <c r="E25" s="1" t="s">
        <v>26</v>
      </c>
      <c r="F25" s="1">
        <v>32189</v>
      </c>
      <c r="G25" s="1" t="str">
        <f t="shared" si="0"/>
        <v>Sufficient</v>
      </c>
      <c r="H25" s="1">
        <f t="shared" si="1"/>
        <v>3154522</v>
      </c>
      <c r="I25" s="1">
        <f t="shared" si="2"/>
        <v>6437.8</v>
      </c>
    </row>
    <row r="26" spans="1:9" x14ac:dyDescent="0.3">
      <c r="A26" s="1" t="s">
        <v>43</v>
      </c>
      <c r="B26" s="1" t="s">
        <v>29</v>
      </c>
      <c r="C26" s="1">
        <v>87</v>
      </c>
      <c r="D26" s="1">
        <v>18</v>
      </c>
      <c r="E26" s="1" t="s">
        <v>26</v>
      </c>
      <c r="F26" s="1">
        <v>48746</v>
      </c>
      <c r="G26" s="1" t="str">
        <f t="shared" si="0"/>
        <v>Sufficient</v>
      </c>
      <c r="H26" s="1">
        <f t="shared" si="1"/>
        <v>4240902</v>
      </c>
      <c r="I26" s="1">
        <f t="shared" si="2"/>
        <v>9749.2000000000007</v>
      </c>
    </row>
    <row r="27" spans="1:9" x14ac:dyDescent="0.3">
      <c r="A27" s="1" t="s">
        <v>44</v>
      </c>
      <c r="B27" s="1" t="s">
        <v>25</v>
      </c>
      <c r="C27" s="1">
        <v>43</v>
      </c>
      <c r="D27" s="1">
        <v>44</v>
      </c>
      <c r="E27" s="1" t="s">
        <v>10</v>
      </c>
      <c r="F27" s="1">
        <v>54442</v>
      </c>
      <c r="G27" s="1" t="str">
        <f t="shared" si="0"/>
        <v>Low Stock</v>
      </c>
      <c r="H27" s="1">
        <f t="shared" si="1"/>
        <v>2341006</v>
      </c>
      <c r="I27" s="1">
        <f t="shared" si="2"/>
        <v>10888.400000000001</v>
      </c>
    </row>
    <row r="28" spans="1:9" x14ac:dyDescent="0.3">
      <c r="A28" s="1" t="s">
        <v>45</v>
      </c>
      <c r="B28" s="1" t="s">
        <v>29</v>
      </c>
      <c r="C28" s="1">
        <v>28</v>
      </c>
      <c r="D28" s="1">
        <v>27</v>
      </c>
      <c r="E28" s="1" t="s">
        <v>13</v>
      </c>
      <c r="F28" s="1">
        <v>75752</v>
      </c>
      <c r="G28" s="1" t="str">
        <f t="shared" si="0"/>
        <v>Sufficient</v>
      </c>
      <c r="H28" s="1">
        <f t="shared" si="1"/>
        <v>2121056</v>
      </c>
      <c r="I28" s="1">
        <f t="shared" si="2"/>
        <v>15150.400000000001</v>
      </c>
    </row>
    <row r="29" spans="1:9" x14ac:dyDescent="0.3">
      <c r="A29" s="1" t="s">
        <v>46</v>
      </c>
      <c r="B29" s="1" t="s">
        <v>23</v>
      </c>
      <c r="C29" s="1">
        <v>106</v>
      </c>
      <c r="D29" s="1">
        <v>46</v>
      </c>
      <c r="E29" s="1" t="s">
        <v>13</v>
      </c>
      <c r="F29" s="1">
        <v>28813</v>
      </c>
      <c r="G29" s="1" t="str">
        <f t="shared" si="0"/>
        <v>Sufficient</v>
      </c>
      <c r="H29" s="1">
        <f t="shared" si="1"/>
        <v>3054178</v>
      </c>
      <c r="I29" s="1">
        <f t="shared" si="2"/>
        <v>5762.6</v>
      </c>
    </row>
    <row r="30" spans="1:9" x14ac:dyDescent="0.3">
      <c r="A30" s="1" t="s">
        <v>47</v>
      </c>
      <c r="B30" s="1" t="s">
        <v>25</v>
      </c>
      <c r="C30" s="1">
        <v>162</v>
      </c>
      <c r="D30" s="1">
        <v>15</v>
      </c>
      <c r="E30" s="1" t="s">
        <v>8</v>
      </c>
      <c r="F30" s="1">
        <v>56815</v>
      </c>
      <c r="G30" s="1" t="str">
        <f t="shared" si="0"/>
        <v>Sufficient</v>
      </c>
      <c r="H30" s="1">
        <f t="shared" si="1"/>
        <v>9204030</v>
      </c>
      <c r="I30" s="1">
        <f t="shared" si="2"/>
        <v>11363</v>
      </c>
    </row>
    <row r="31" spans="1:9" x14ac:dyDescent="0.3">
      <c r="A31" s="1" t="s">
        <v>48</v>
      </c>
      <c r="B31" s="1" t="s">
        <v>12</v>
      </c>
      <c r="C31" s="1">
        <v>140</v>
      </c>
      <c r="D31" s="1">
        <v>47</v>
      </c>
      <c r="E31" s="1" t="s">
        <v>16</v>
      </c>
      <c r="F31" s="1">
        <v>48184</v>
      </c>
      <c r="G31" s="1" t="str">
        <f t="shared" si="0"/>
        <v>Sufficient</v>
      </c>
      <c r="H31" s="1">
        <f t="shared" si="1"/>
        <v>6745760</v>
      </c>
      <c r="I31" s="1">
        <f t="shared" si="2"/>
        <v>9636.8000000000011</v>
      </c>
    </row>
    <row r="32" spans="1:9" x14ac:dyDescent="0.3">
      <c r="A32" s="1" t="s">
        <v>49</v>
      </c>
      <c r="B32" s="1" t="s">
        <v>12</v>
      </c>
      <c r="C32" s="1">
        <v>22</v>
      </c>
      <c r="D32" s="1">
        <v>39</v>
      </c>
      <c r="E32" s="1" t="s">
        <v>8</v>
      </c>
      <c r="F32" s="1">
        <v>67449</v>
      </c>
      <c r="G32" s="1" t="str">
        <f t="shared" si="0"/>
        <v>Low Stock</v>
      </c>
      <c r="H32" s="1">
        <f t="shared" si="1"/>
        <v>1483878</v>
      </c>
      <c r="I32" s="1">
        <f t="shared" si="2"/>
        <v>13489.800000000001</v>
      </c>
    </row>
    <row r="33" spans="1:9" x14ac:dyDescent="0.3">
      <c r="A33" s="1" t="s">
        <v>50</v>
      </c>
      <c r="B33" s="1" t="s">
        <v>15</v>
      </c>
      <c r="C33" s="1">
        <v>96</v>
      </c>
      <c r="D33" s="1">
        <v>14</v>
      </c>
      <c r="E33" s="1" t="s">
        <v>8</v>
      </c>
      <c r="F33" s="1">
        <v>33961</v>
      </c>
      <c r="G33" s="1" t="str">
        <f t="shared" si="0"/>
        <v>Sufficient</v>
      </c>
      <c r="H33" s="1">
        <f t="shared" si="1"/>
        <v>3260256</v>
      </c>
      <c r="I33" s="1">
        <f t="shared" si="2"/>
        <v>6792.2000000000007</v>
      </c>
    </row>
    <row r="34" spans="1:9" x14ac:dyDescent="0.3">
      <c r="A34" s="1" t="s">
        <v>51</v>
      </c>
      <c r="B34" s="1" t="s">
        <v>29</v>
      </c>
      <c r="C34" s="1">
        <v>12</v>
      </c>
      <c r="D34" s="1">
        <v>29</v>
      </c>
      <c r="E34" s="1" t="s">
        <v>26</v>
      </c>
      <c r="F34" s="1">
        <v>48113</v>
      </c>
      <c r="G34" s="1" t="str">
        <f t="shared" si="0"/>
        <v>Low Stock</v>
      </c>
      <c r="H34" s="1">
        <f t="shared" si="1"/>
        <v>577356</v>
      </c>
      <c r="I34" s="1">
        <f t="shared" si="2"/>
        <v>9622.6</v>
      </c>
    </row>
    <row r="35" spans="1:9" x14ac:dyDescent="0.3">
      <c r="A35" s="1" t="s">
        <v>52</v>
      </c>
      <c r="B35" s="1" t="s">
        <v>23</v>
      </c>
      <c r="C35" s="1">
        <v>117</v>
      </c>
      <c r="D35" s="1">
        <v>13</v>
      </c>
      <c r="E35" s="1" t="s">
        <v>13</v>
      </c>
      <c r="F35" s="1">
        <v>45607</v>
      </c>
      <c r="G35" s="1" t="str">
        <f t="shared" si="0"/>
        <v>Sufficient</v>
      </c>
      <c r="H35" s="1">
        <f t="shared" si="1"/>
        <v>5336019</v>
      </c>
      <c r="I35" s="1">
        <f t="shared" si="2"/>
        <v>9121.4</v>
      </c>
    </row>
    <row r="36" spans="1:9" x14ac:dyDescent="0.3">
      <c r="A36" s="1" t="s">
        <v>53</v>
      </c>
      <c r="B36" s="1" t="s">
        <v>7</v>
      </c>
      <c r="C36" s="1">
        <v>187</v>
      </c>
      <c r="D36" s="1">
        <v>50</v>
      </c>
      <c r="E36" s="1" t="s">
        <v>10</v>
      </c>
      <c r="F36" s="1">
        <v>74554</v>
      </c>
      <c r="G36" s="1" t="str">
        <f t="shared" si="0"/>
        <v>Sufficient</v>
      </c>
      <c r="H36" s="1">
        <f t="shared" si="1"/>
        <v>13941598</v>
      </c>
      <c r="I36" s="1">
        <f t="shared" si="2"/>
        <v>14910.800000000001</v>
      </c>
    </row>
    <row r="37" spans="1:9" x14ac:dyDescent="0.3">
      <c r="A37" s="1" t="s">
        <v>54</v>
      </c>
      <c r="B37" s="1" t="s">
        <v>7</v>
      </c>
      <c r="C37" s="1">
        <v>176</v>
      </c>
      <c r="D37" s="1">
        <v>10</v>
      </c>
      <c r="E37" s="1" t="s">
        <v>16</v>
      </c>
      <c r="F37" s="1">
        <v>9875</v>
      </c>
      <c r="G37" s="1" t="str">
        <f t="shared" si="0"/>
        <v>Sufficient</v>
      </c>
      <c r="H37" s="1">
        <f t="shared" si="1"/>
        <v>1738000</v>
      </c>
      <c r="I37" s="1">
        <f t="shared" si="2"/>
        <v>1975</v>
      </c>
    </row>
    <row r="38" spans="1:9" x14ac:dyDescent="0.3">
      <c r="A38" s="1" t="s">
        <v>55</v>
      </c>
      <c r="B38" s="1" t="s">
        <v>23</v>
      </c>
      <c r="C38" s="1">
        <v>78</v>
      </c>
      <c r="D38" s="1">
        <v>29</v>
      </c>
      <c r="E38" s="1" t="s">
        <v>10</v>
      </c>
      <c r="F38" s="1">
        <v>76728</v>
      </c>
      <c r="G38" s="1" t="str">
        <f t="shared" si="0"/>
        <v>Sufficient</v>
      </c>
      <c r="H38" s="1">
        <f t="shared" si="1"/>
        <v>5984784</v>
      </c>
      <c r="I38" s="1">
        <f t="shared" si="2"/>
        <v>15345.6</v>
      </c>
    </row>
    <row r="39" spans="1:9" x14ac:dyDescent="0.3">
      <c r="A39" s="1" t="s">
        <v>56</v>
      </c>
      <c r="B39" s="1" t="s">
        <v>18</v>
      </c>
      <c r="C39" s="1">
        <v>155</v>
      </c>
      <c r="D39" s="1">
        <v>49</v>
      </c>
      <c r="E39" s="1" t="s">
        <v>10</v>
      </c>
      <c r="F39" s="1">
        <v>29527</v>
      </c>
      <c r="G39" s="1" t="str">
        <f t="shared" si="0"/>
        <v>Sufficient</v>
      </c>
      <c r="H39" s="1">
        <f t="shared" si="1"/>
        <v>4576685</v>
      </c>
      <c r="I39" s="1">
        <f t="shared" si="2"/>
        <v>5905.4000000000005</v>
      </c>
    </row>
    <row r="40" spans="1:9" x14ac:dyDescent="0.3">
      <c r="A40" s="1" t="s">
        <v>57</v>
      </c>
      <c r="B40" s="1" t="s">
        <v>12</v>
      </c>
      <c r="C40" s="1">
        <v>198</v>
      </c>
      <c r="D40" s="1">
        <v>22</v>
      </c>
      <c r="E40" s="1" t="s">
        <v>26</v>
      </c>
      <c r="F40" s="1">
        <v>12072</v>
      </c>
      <c r="G40" s="1" t="str">
        <f t="shared" si="0"/>
        <v>Sufficient</v>
      </c>
      <c r="H40" s="1">
        <f t="shared" si="1"/>
        <v>2390256</v>
      </c>
      <c r="I40" s="1">
        <f t="shared" si="2"/>
        <v>2414.4</v>
      </c>
    </row>
    <row r="41" spans="1:9" x14ac:dyDescent="0.3">
      <c r="A41" s="1" t="s">
        <v>58</v>
      </c>
      <c r="B41" s="1" t="s">
        <v>15</v>
      </c>
      <c r="C41" s="1">
        <v>188</v>
      </c>
      <c r="D41" s="1">
        <v>27</v>
      </c>
      <c r="E41" s="1" t="s">
        <v>13</v>
      </c>
      <c r="F41" s="1">
        <v>50428</v>
      </c>
      <c r="G41" s="1" t="str">
        <f t="shared" si="0"/>
        <v>Sufficient</v>
      </c>
      <c r="H41" s="1">
        <f t="shared" si="1"/>
        <v>9480464</v>
      </c>
      <c r="I41" s="1">
        <f t="shared" si="2"/>
        <v>10085.6</v>
      </c>
    </row>
    <row r="42" spans="1:9" x14ac:dyDescent="0.3">
      <c r="A42" s="1" t="s">
        <v>59</v>
      </c>
      <c r="B42" s="1" t="s">
        <v>29</v>
      </c>
      <c r="C42" s="1">
        <v>81</v>
      </c>
      <c r="D42" s="1">
        <v>19</v>
      </c>
      <c r="E42" s="1" t="s">
        <v>8</v>
      </c>
      <c r="F42" s="1">
        <v>11635</v>
      </c>
      <c r="G42" s="1" t="str">
        <f t="shared" si="0"/>
        <v>Sufficient</v>
      </c>
      <c r="H42" s="1">
        <f t="shared" si="1"/>
        <v>942435</v>
      </c>
      <c r="I42" s="1">
        <f t="shared" si="2"/>
        <v>2327</v>
      </c>
    </row>
    <row r="43" spans="1:9" x14ac:dyDescent="0.3">
      <c r="A43" s="1" t="s">
        <v>60</v>
      </c>
      <c r="B43" s="1" t="s">
        <v>7</v>
      </c>
      <c r="C43" s="1">
        <v>64</v>
      </c>
      <c r="D43" s="1">
        <v>36</v>
      </c>
      <c r="E43" s="1" t="s">
        <v>16</v>
      </c>
      <c r="F43" s="1">
        <v>47502</v>
      </c>
      <c r="G43" s="1" t="str">
        <f t="shared" si="0"/>
        <v>Sufficient</v>
      </c>
      <c r="H43" s="1">
        <f t="shared" si="1"/>
        <v>3040128</v>
      </c>
      <c r="I43" s="1">
        <f t="shared" si="2"/>
        <v>9500.4</v>
      </c>
    </row>
    <row r="44" spans="1:9" x14ac:dyDescent="0.3">
      <c r="A44" s="1" t="s">
        <v>61</v>
      </c>
      <c r="B44" s="1" t="s">
        <v>15</v>
      </c>
      <c r="C44" s="1">
        <v>27</v>
      </c>
      <c r="D44" s="1">
        <v>29</v>
      </c>
      <c r="E44" s="1" t="s">
        <v>26</v>
      </c>
      <c r="F44" s="1">
        <v>32738</v>
      </c>
      <c r="G44" s="1" t="str">
        <f t="shared" si="0"/>
        <v>Low Stock</v>
      </c>
      <c r="H44" s="1">
        <f t="shared" si="1"/>
        <v>883926</v>
      </c>
      <c r="I44" s="1">
        <f t="shared" si="2"/>
        <v>6547.6</v>
      </c>
    </row>
    <row r="45" spans="1:9" x14ac:dyDescent="0.3">
      <c r="A45" s="1" t="s">
        <v>62</v>
      </c>
      <c r="B45" s="1" t="s">
        <v>23</v>
      </c>
      <c r="C45" s="1">
        <v>110</v>
      </c>
      <c r="D45" s="1">
        <v>34</v>
      </c>
      <c r="E45" s="1" t="s">
        <v>13</v>
      </c>
      <c r="F45" s="1">
        <v>29837</v>
      </c>
      <c r="G45" s="1" t="str">
        <f t="shared" si="0"/>
        <v>Sufficient</v>
      </c>
      <c r="H45" s="1">
        <f t="shared" si="1"/>
        <v>3282070</v>
      </c>
      <c r="I45" s="1">
        <f t="shared" si="2"/>
        <v>5967.4000000000005</v>
      </c>
    </row>
    <row r="46" spans="1:9" x14ac:dyDescent="0.3">
      <c r="A46" s="1" t="s">
        <v>63</v>
      </c>
      <c r="B46" s="1" t="s">
        <v>18</v>
      </c>
      <c r="C46" s="1">
        <v>191</v>
      </c>
      <c r="D46" s="1">
        <v>43</v>
      </c>
      <c r="E46" s="1" t="s">
        <v>13</v>
      </c>
      <c r="F46" s="1">
        <v>58189</v>
      </c>
      <c r="G46" s="1" t="str">
        <f t="shared" si="0"/>
        <v>Sufficient</v>
      </c>
      <c r="H46" s="1">
        <f t="shared" si="1"/>
        <v>11114099</v>
      </c>
      <c r="I46" s="1">
        <f t="shared" si="2"/>
        <v>11637.800000000001</v>
      </c>
    </row>
    <row r="47" spans="1:9" x14ac:dyDescent="0.3">
      <c r="A47" s="1" t="s">
        <v>64</v>
      </c>
      <c r="B47" s="1" t="s">
        <v>25</v>
      </c>
      <c r="C47" s="1">
        <v>54</v>
      </c>
      <c r="D47" s="1">
        <v>19</v>
      </c>
      <c r="E47" s="1" t="s">
        <v>10</v>
      </c>
      <c r="F47" s="1">
        <v>10381</v>
      </c>
      <c r="G47" s="1" t="str">
        <f t="shared" si="0"/>
        <v>Sufficient</v>
      </c>
      <c r="H47" s="1">
        <f t="shared" si="1"/>
        <v>560574</v>
      </c>
      <c r="I47" s="1">
        <f t="shared" si="2"/>
        <v>2076.2000000000003</v>
      </c>
    </row>
    <row r="48" spans="1:9" x14ac:dyDescent="0.3">
      <c r="A48" s="1" t="s">
        <v>65</v>
      </c>
      <c r="B48" s="1" t="s">
        <v>15</v>
      </c>
      <c r="C48" s="1">
        <v>3</v>
      </c>
      <c r="D48" s="1">
        <v>38</v>
      </c>
      <c r="E48" s="1" t="s">
        <v>13</v>
      </c>
      <c r="F48" s="1">
        <v>30238</v>
      </c>
      <c r="G48" s="1" t="str">
        <f t="shared" si="0"/>
        <v>Low Stock</v>
      </c>
      <c r="H48" s="1">
        <f t="shared" si="1"/>
        <v>90714</v>
      </c>
      <c r="I48" s="1">
        <f t="shared" si="2"/>
        <v>6047.6</v>
      </c>
    </row>
    <row r="49" spans="1:9" x14ac:dyDescent="0.3">
      <c r="A49" s="1" t="s">
        <v>66</v>
      </c>
      <c r="B49" s="1" t="s">
        <v>18</v>
      </c>
      <c r="C49" s="1">
        <v>0</v>
      </c>
      <c r="D49" s="1">
        <v>37</v>
      </c>
      <c r="E49" s="1" t="s">
        <v>8</v>
      </c>
      <c r="F49" s="1">
        <v>63102</v>
      </c>
      <c r="G49" s="1" t="str">
        <f t="shared" si="0"/>
        <v>Pending</v>
      </c>
      <c r="H49" s="1">
        <f t="shared" si="1"/>
        <v>0</v>
      </c>
      <c r="I49" s="1">
        <f t="shared" si="2"/>
        <v>12620.400000000001</v>
      </c>
    </row>
    <row r="50" spans="1:9" x14ac:dyDescent="0.3">
      <c r="A50" s="1" t="s">
        <v>67</v>
      </c>
      <c r="B50" s="1" t="s">
        <v>23</v>
      </c>
      <c r="C50" s="1">
        <v>147</v>
      </c>
      <c r="D50" s="1">
        <v>24</v>
      </c>
      <c r="E50" s="1" t="s">
        <v>26</v>
      </c>
      <c r="F50" s="1">
        <v>53564</v>
      </c>
      <c r="G50" s="1" t="str">
        <f t="shared" si="0"/>
        <v>Sufficient</v>
      </c>
      <c r="H50" s="1">
        <f t="shared" si="1"/>
        <v>7873908</v>
      </c>
      <c r="I50" s="1">
        <f t="shared" si="2"/>
        <v>10712.800000000001</v>
      </c>
    </row>
    <row r="51" spans="1:9" x14ac:dyDescent="0.3">
      <c r="A51" s="1" t="s">
        <v>68</v>
      </c>
      <c r="B51" s="1" t="s">
        <v>23</v>
      </c>
      <c r="C51" s="1">
        <v>131</v>
      </c>
      <c r="D51" s="1">
        <v>24</v>
      </c>
      <c r="E51" s="1" t="s">
        <v>26</v>
      </c>
      <c r="F51" s="1">
        <v>70827</v>
      </c>
      <c r="G51" s="1" t="str">
        <f t="shared" si="0"/>
        <v>Sufficient</v>
      </c>
      <c r="H51" s="1">
        <f t="shared" si="1"/>
        <v>9278337</v>
      </c>
      <c r="I51" s="1">
        <f t="shared" si="2"/>
        <v>14165.400000000001</v>
      </c>
    </row>
    <row r="52" spans="1:9" x14ac:dyDescent="0.3">
      <c r="A52" s="1" t="s">
        <v>69</v>
      </c>
      <c r="B52" s="1" t="s">
        <v>25</v>
      </c>
      <c r="C52" s="1">
        <v>143</v>
      </c>
      <c r="D52" s="1">
        <v>13</v>
      </c>
      <c r="E52" s="1" t="s">
        <v>8</v>
      </c>
      <c r="F52" s="1">
        <v>71633</v>
      </c>
      <c r="G52" s="1" t="str">
        <f t="shared" si="0"/>
        <v>Sufficient</v>
      </c>
      <c r="H52" s="1">
        <f t="shared" si="1"/>
        <v>10243519</v>
      </c>
      <c r="I52" s="1">
        <f t="shared" si="2"/>
        <v>14326.6</v>
      </c>
    </row>
    <row r="53" spans="1:9" x14ac:dyDescent="0.3">
      <c r="A53" s="1" t="s">
        <v>70</v>
      </c>
      <c r="B53" s="1" t="s">
        <v>25</v>
      </c>
      <c r="C53" s="1">
        <v>70</v>
      </c>
      <c r="D53" s="1">
        <v>29</v>
      </c>
      <c r="E53" s="1" t="s">
        <v>8</v>
      </c>
      <c r="F53" s="1">
        <v>60857</v>
      </c>
      <c r="G53" s="1" t="str">
        <f t="shared" si="0"/>
        <v>Sufficient</v>
      </c>
      <c r="H53" s="1">
        <f t="shared" si="1"/>
        <v>4259990</v>
      </c>
      <c r="I53" s="1">
        <f t="shared" si="2"/>
        <v>12171.400000000001</v>
      </c>
    </row>
    <row r="54" spans="1:9" x14ac:dyDescent="0.3">
      <c r="A54" s="1" t="s">
        <v>71</v>
      </c>
      <c r="B54" s="1" t="s">
        <v>20</v>
      </c>
      <c r="C54" s="1">
        <v>146</v>
      </c>
      <c r="D54" s="1">
        <v>29</v>
      </c>
      <c r="E54" s="1" t="s">
        <v>16</v>
      </c>
      <c r="F54" s="1">
        <v>14007</v>
      </c>
      <c r="G54" s="1" t="str">
        <f t="shared" si="0"/>
        <v>Sufficient</v>
      </c>
      <c r="H54" s="1">
        <f t="shared" si="1"/>
        <v>2045022</v>
      </c>
      <c r="I54" s="1">
        <f t="shared" si="2"/>
        <v>2801.4</v>
      </c>
    </row>
    <row r="55" spans="1:9" x14ac:dyDescent="0.3">
      <c r="A55" s="1" t="s">
        <v>72</v>
      </c>
      <c r="B55" s="1" t="s">
        <v>7</v>
      </c>
      <c r="C55" s="1">
        <v>181</v>
      </c>
      <c r="D55" s="1">
        <v>34</v>
      </c>
      <c r="E55" s="1" t="s">
        <v>26</v>
      </c>
      <c r="F55" s="1">
        <v>46397</v>
      </c>
      <c r="G55" s="1" t="str">
        <f t="shared" si="0"/>
        <v>Sufficient</v>
      </c>
      <c r="H55" s="1">
        <f t="shared" si="1"/>
        <v>8397857</v>
      </c>
      <c r="I55" s="1">
        <f t="shared" si="2"/>
        <v>9279.4</v>
      </c>
    </row>
    <row r="56" spans="1:9" x14ac:dyDescent="0.3">
      <c r="A56" s="1" t="s">
        <v>73</v>
      </c>
      <c r="B56" s="1" t="s">
        <v>20</v>
      </c>
      <c r="C56" s="1">
        <v>191</v>
      </c>
      <c r="D56" s="1">
        <v>11</v>
      </c>
      <c r="E56" s="1" t="s">
        <v>8</v>
      </c>
      <c r="F56" s="1">
        <v>4631</v>
      </c>
      <c r="G56" s="1" t="str">
        <f t="shared" si="0"/>
        <v>Sufficient</v>
      </c>
      <c r="H56" s="1">
        <f t="shared" si="1"/>
        <v>884521</v>
      </c>
      <c r="I56" s="1">
        <f t="shared" si="2"/>
        <v>926.2</v>
      </c>
    </row>
    <row r="57" spans="1:9" x14ac:dyDescent="0.3">
      <c r="A57" s="1" t="s">
        <v>74</v>
      </c>
      <c r="B57" s="1" t="s">
        <v>12</v>
      </c>
      <c r="C57" s="1">
        <v>12</v>
      </c>
      <c r="D57" s="1">
        <v>35</v>
      </c>
      <c r="E57" s="1" t="s">
        <v>10</v>
      </c>
      <c r="F57" s="1">
        <v>48636</v>
      </c>
      <c r="G57" s="1" t="str">
        <f t="shared" si="0"/>
        <v>Low Stock</v>
      </c>
      <c r="H57" s="1">
        <f t="shared" si="1"/>
        <v>583632</v>
      </c>
      <c r="I57" s="1">
        <f t="shared" si="2"/>
        <v>9727.2000000000007</v>
      </c>
    </row>
    <row r="58" spans="1:9" x14ac:dyDescent="0.3">
      <c r="A58" s="1" t="s">
        <v>75</v>
      </c>
      <c r="B58" s="1" t="s">
        <v>12</v>
      </c>
      <c r="C58" s="1">
        <v>177</v>
      </c>
      <c r="D58" s="1">
        <v>33</v>
      </c>
      <c r="E58" s="1" t="s">
        <v>16</v>
      </c>
      <c r="F58" s="1">
        <v>17966</v>
      </c>
      <c r="G58" s="1" t="str">
        <f t="shared" si="0"/>
        <v>Sufficient</v>
      </c>
      <c r="H58" s="1">
        <f t="shared" si="1"/>
        <v>3179982</v>
      </c>
      <c r="I58" s="1">
        <f t="shared" si="2"/>
        <v>3593.2000000000003</v>
      </c>
    </row>
    <row r="59" spans="1:9" x14ac:dyDescent="0.3">
      <c r="A59" s="1" t="s">
        <v>76</v>
      </c>
      <c r="B59" s="1" t="s">
        <v>23</v>
      </c>
      <c r="C59" s="1">
        <v>104</v>
      </c>
      <c r="D59" s="1">
        <v>15</v>
      </c>
      <c r="E59" s="1" t="s">
        <v>26</v>
      </c>
      <c r="F59" s="1">
        <v>37998</v>
      </c>
      <c r="G59" s="1" t="str">
        <f t="shared" si="0"/>
        <v>Sufficient</v>
      </c>
      <c r="H59" s="1">
        <f t="shared" si="1"/>
        <v>3951792</v>
      </c>
      <c r="I59" s="1">
        <f t="shared" si="2"/>
        <v>7599.6</v>
      </c>
    </row>
    <row r="60" spans="1:9" x14ac:dyDescent="0.3">
      <c r="A60" s="1" t="s">
        <v>77</v>
      </c>
      <c r="B60" s="1" t="s">
        <v>7</v>
      </c>
      <c r="C60" s="1">
        <v>196</v>
      </c>
      <c r="D60" s="1">
        <v>37</v>
      </c>
      <c r="E60" s="1" t="s">
        <v>8</v>
      </c>
      <c r="F60" s="1">
        <v>64199</v>
      </c>
      <c r="G60" s="1" t="str">
        <f t="shared" si="0"/>
        <v>Sufficient</v>
      </c>
      <c r="H60" s="1">
        <f t="shared" si="1"/>
        <v>12583004</v>
      </c>
      <c r="I60" s="1">
        <f t="shared" si="2"/>
        <v>12839.800000000001</v>
      </c>
    </row>
    <row r="61" spans="1:9" x14ac:dyDescent="0.3">
      <c r="A61" s="1" t="s">
        <v>78</v>
      </c>
      <c r="B61" s="1" t="s">
        <v>7</v>
      </c>
      <c r="C61" s="1">
        <v>99</v>
      </c>
      <c r="D61" s="1">
        <v>25</v>
      </c>
      <c r="E61" s="1" t="s">
        <v>10</v>
      </c>
      <c r="F61" s="1">
        <v>42857</v>
      </c>
      <c r="G61" s="1" t="str">
        <f t="shared" si="0"/>
        <v>Sufficient</v>
      </c>
      <c r="H61" s="1">
        <f t="shared" si="1"/>
        <v>4242843</v>
      </c>
      <c r="I61" s="1">
        <f t="shared" si="2"/>
        <v>8571.4</v>
      </c>
    </row>
    <row r="62" spans="1:9" x14ac:dyDescent="0.3">
      <c r="A62" s="1" t="s">
        <v>79</v>
      </c>
      <c r="B62" s="1" t="s">
        <v>23</v>
      </c>
      <c r="C62" s="1">
        <v>178</v>
      </c>
      <c r="D62" s="1">
        <v>43</v>
      </c>
      <c r="E62" s="1" t="s">
        <v>8</v>
      </c>
      <c r="F62" s="1">
        <v>9771</v>
      </c>
      <c r="G62" s="1" t="str">
        <f t="shared" si="0"/>
        <v>Sufficient</v>
      </c>
      <c r="H62" s="1">
        <f t="shared" si="1"/>
        <v>1739238</v>
      </c>
      <c r="I62" s="1">
        <f t="shared" si="2"/>
        <v>1954.2</v>
      </c>
    </row>
    <row r="63" spans="1:9" x14ac:dyDescent="0.3">
      <c r="A63" s="1" t="s">
        <v>80</v>
      </c>
      <c r="B63" s="1" t="s">
        <v>25</v>
      </c>
      <c r="C63" s="1">
        <v>17</v>
      </c>
      <c r="D63" s="1">
        <v>28</v>
      </c>
      <c r="E63" s="1" t="s">
        <v>8</v>
      </c>
      <c r="F63" s="1">
        <v>25815</v>
      </c>
      <c r="G63" s="1" t="str">
        <f t="shared" si="0"/>
        <v>Low Stock</v>
      </c>
      <c r="H63" s="1">
        <f t="shared" si="1"/>
        <v>438855</v>
      </c>
      <c r="I63" s="1">
        <f t="shared" si="2"/>
        <v>5163</v>
      </c>
    </row>
    <row r="64" spans="1:9" x14ac:dyDescent="0.3">
      <c r="A64" s="1" t="s">
        <v>81</v>
      </c>
      <c r="B64" s="1" t="s">
        <v>7</v>
      </c>
      <c r="C64" s="1">
        <v>30</v>
      </c>
      <c r="D64" s="1">
        <v>27</v>
      </c>
      <c r="E64" s="1" t="s">
        <v>8</v>
      </c>
      <c r="F64" s="1">
        <v>19224</v>
      </c>
      <c r="G64" s="1" t="str">
        <f t="shared" si="0"/>
        <v>Sufficient</v>
      </c>
      <c r="H64" s="1">
        <f t="shared" si="1"/>
        <v>576720</v>
      </c>
      <c r="I64" s="1">
        <f t="shared" si="2"/>
        <v>3844.8</v>
      </c>
    </row>
    <row r="65" spans="1:9" x14ac:dyDescent="0.3">
      <c r="A65" s="1" t="s">
        <v>82</v>
      </c>
      <c r="B65" s="1" t="s">
        <v>7</v>
      </c>
      <c r="C65" s="1">
        <v>152</v>
      </c>
      <c r="D65" s="1">
        <v>28</v>
      </c>
      <c r="E65" s="1" t="s">
        <v>10</v>
      </c>
      <c r="F65" s="1">
        <v>76189</v>
      </c>
      <c r="G65" s="1" t="str">
        <f t="shared" si="0"/>
        <v>Sufficient</v>
      </c>
      <c r="H65" s="1">
        <f t="shared" si="1"/>
        <v>11580728</v>
      </c>
      <c r="I65" s="1">
        <f t="shared" si="2"/>
        <v>15237.800000000001</v>
      </c>
    </row>
    <row r="66" spans="1:9" x14ac:dyDescent="0.3">
      <c r="A66" s="1" t="s">
        <v>83</v>
      </c>
      <c r="B66" s="1" t="s">
        <v>12</v>
      </c>
      <c r="C66" s="1">
        <v>191</v>
      </c>
      <c r="D66" s="1">
        <v>36</v>
      </c>
      <c r="E66" s="1" t="s">
        <v>10</v>
      </c>
      <c r="F66" s="1">
        <v>43869</v>
      </c>
      <c r="G66" s="1" t="str">
        <f t="shared" si="0"/>
        <v>Sufficient</v>
      </c>
      <c r="H66" s="1">
        <f t="shared" si="1"/>
        <v>8378979</v>
      </c>
      <c r="I66" s="1">
        <f t="shared" si="2"/>
        <v>8773.8000000000011</v>
      </c>
    </row>
    <row r="67" spans="1:9" x14ac:dyDescent="0.3">
      <c r="A67" s="1" t="s">
        <v>84</v>
      </c>
      <c r="B67" s="1" t="s">
        <v>23</v>
      </c>
      <c r="C67" s="1">
        <v>59</v>
      </c>
      <c r="D67" s="1">
        <v>45</v>
      </c>
      <c r="E67" s="1" t="s">
        <v>8</v>
      </c>
      <c r="F67" s="1">
        <v>23921</v>
      </c>
      <c r="G67" s="1" t="str">
        <f t="shared" ref="G67:G130" si="3">IF(C67=0,"Pending",IF(C67&lt;=D67,"Low Stock", "Sufficient"))</f>
        <v>Sufficient</v>
      </c>
      <c r="H67" s="1">
        <f t="shared" ref="H67:H130" si="4">C67*F67</f>
        <v>1411339</v>
      </c>
      <c r="I67" s="1">
        <f t="shared" ref="I67:I130" si="5">F67*0.2</f>
        <v>4784.2</v>
      </c>
    </row>
    <row r="68" spans="1:9" x14ac:dyDescent="0.3">
      <c r="A68" s="1" t="s">
        <v>85</v>
      </c>
      <c r="B68" s="1" t="s">
        <v>20</v>
      </c>
      <c r="C68" s="1">
        <v>59</v>
      </c>
      <c r="D68" s="1">
        <v>39</v>
      </c>
      <c r="E68" s="1" t="s">
        <v>13</v>
      </c>
      <c r="F68" s="1">
        <v>27099</v>
      </c>
      <c r="G68" s="1" t="str">
        <f t="shared" si="3"/>
        <v>Sufficient</v>
      </c>
      <c r="H68" s="1">
        <f t="shared" si="4"/>
        <v>1598841</v>
      </c>
      <c r="I68" s="1">
        <f t="shared" si="5"/>
        <v>5419.8</v>
      </c>
    </row>
    <row r="69" spans="1:9" x14ac:dyDescent="0.3">
      <c r="A69" s="1" t="s">
        <v>86</v>
      </c>
      <c r="B69" s="1" t="s">
        <v>25</v>
      </c>
      <c r="C69" s="1">
        <v>21</v>
      </c>
      <c r="D69" s="1">
        <v>15</v>
      </c>
      <c r="E69" s="1" t="s">
        <v>8</v>
      </c>
      <c r="F69" s="1">
        <v>54130</v>
      </c>
      <c r="G69" s="1" t="str">
        <f t="shared" si="3"/>
        <v>Sufficient</v>
      </c>
      <c r="H69" s="1">
        <f t="shared" si="4"/>
        <v>1136730</v>
      </c>
      <c r="I69" s="1">
        <f t="shared" si="5"/>
        <v>10826</v>
      </c>
    </row>
    <row r="70" spans="1:9" x14ac:dyDescent="0.3">
      <c r="A70" s="1" t="s">
        <v>87</v>
      </c>
      <c r="B70" s="1" t="s">
        <v>20</v>
      </c>
      <c r="C70" s="1">
        <v>30</v>
      </c>
      <c r="D70" s="1">
        <v>44</v>
      </c>
      <c r="E70" s="1" t="s">
        <v>10</v>
      </c>
      <c r="F70" s="1">
        <v>38266</v>
      </c>
      <c r="G70" s="1" t="str">
        <f t="shared" si="3"/>
        <v>Low Stock</v>
      </c>
      <c r="H70" s="1">
        <f t="shared" si="4"/>
        <v>1147980</v>
      </c>
      <c r="I70" s="1">
        <f t="shared" si="5"/>
        <v>7653.2000000000007</v>
      </c>
    </row>
    <row r="71" spans="1:9" x14ac:dyDescent="0.3">
      <c r="A71" s="1" t="s">
        <v>88</v>
      </c>
      <c r="B71" s="1" t="s">
        <v>25</v>
      </c>
      <c r="C71" s="1">
        <v>181</v>
      </c>
      <c r="D71" s="1">
        <v>12</v>
      </c>
      <c r="E71" s="1" t="s">
        <v>10</v>
      </c>
      <c r="F71" s="1">
        <v>32873</v>
      </c>
      <c r="G71" s="1" t="str">
        <f t="shared" si="3"/>
        <v>Sufficient</v>
      </c>
      <c r="H71" s="1">
        <f t="shared" si="4"/>
        <v>5950013</v>
      </c>
      <c r="I71" s="1">
        <f t="shared" si="5"/>
        <v>6574.6</v>
      </c>
    </row>
    <row r="72" spans="1:9" x14ac:dyDescent="0.3">
      <c r="A72" s="1" t="s">
        <v>89</v>
      </c>
      <c r="B72" s="1" t="s">
        <v>15</v>
      </c>
      <c r="C72" s="1">
        <v>100</v>
      </c>
      <c r="D72" s="1">
        <v>18</v>
      </c>
      <c r="E72" s="1" t="s">
        <v>26</v>
      </c>
      <c r="F72" s="1">
        <v>13295</v>
      </c>
      <c r="G72" s="1" t="str">
        <f t="shared" si="3"/>
        <v>Sufficient</v>
      </c>
      <c r="H72" s="1">
        <f t="shared" si="4"/>
        <v>1329500</v>
      </c>
      <c r="I72" s="1">
        <f t="shared" si="5"/>
        <v>2659</v>
      </c>
    </row>
    <row r="73" spans="1:9" x14ac:dyDescent="0.3">
      <c r="A73" s="1" t="s">
        <v>90</v>
      </c>
      <c r="B73" s="1" t="s">
        <v>18</v>
      </c>
      <c r="C73" s="1">
        <v>86</v>
      </c>
      <c r="D73" s="1">
        <v>22</v>
      </c>
      <c r="E73" s="1" t="s">
        <v>26</v>
      </c>
      <c r="F73" s="1">
        <v>45413</v>
      </c>
      <c r="G73" s="1" t="str">
        <f t="shared" si="3"/>
        <v>Sufficient</v>
      </c>
      <c r="H73" s="1">
        <f t="shared" si="4"/>
        <v>3905518</v>
      </c>
      <c r="I73" s="1">
        <f t="shared" si="5"/>
        <v>9082.6</v>
      </c>
    </row>
    <row r="74" spans="1:9" x14ac:dyDescent="0.3">
      <c r="A74" s="1" t="s">
        <v>91</v>
      </c>
      <c r="B74" s="1" t="s">
        <v>15</v>
      </c>
      <c r="C74" s="1">
        <v>180</v>
      </c>
      <c r="D74" s="1">
        <v>29</v>
      </c>
      <c r="E74" s="1" t="s">
        <v>16</v>
      </c>
      <c r="F74" s="1">
        <v>19393</v>
      </c>
      <c r="G74" s="1" t="str">
        <f t="shared" si="3"/>
        <v>Sufficient</v>
      </c>
      <c r="H74" s="1">
        <f t="shared" si="4"/>
        <v>3490740</v>
      </c>
      <c r="I74" s="1">
        <f t="shared" si="5"/>
        <v>3878.6000000000004</v>
      </c>
    </row>
    <row r="75" spans="1:9" x14ac:dyDescent="0.3">
      <c r="A75" s="1" t="s">
        <v>92</v>
      </c>
      <c r="B75" s="1" t="s">
        <v>15</v>
      </c>
      <c r="C75" s="1">
        <v>192</v>
      </c>
      <c r="D75" s="1">
        <v>26</v>
      </c>
      <c r="E75" s="1" t="s">
        <v>26</v>
      </c>
      <c r="F75" s="1">
        <v>37968</v>
      </c>
      <c r="G75" s="1" t="str">
        <f t="shared" si="3"/>
        <v>Sufficient</v>
      </c>
      <c r="H75" s="1">
        <f t="shared" si="4"/>
        <v>7289856</v>
      </c>
      <c r="I75" s="1">
        <f t="shared" si="5"/>
        <v>7593.6</v>
      </c>
    </row>
    <row r="76" spans="1:9" x14ac:dyDescent="0.3">
      <c r="A76" s="1" t="s">
        <v>93</v>
      </c>
      <c r="B76" s="1" t="s">
        <v>18</v>
      </c>
      <c r="C76" s="1">
        <v>69</v>
      </c>
      <c r="D76" s="1">
        <v>15</v>
      </c>
      <c r="E76" s="1" t="s">
        <v>13</v>
      </c>
      <c r="F76" s="1">
        <v>20869</v>
      </c>
      <c r="G76" s="1" t="str">
        <f t="shared" si="3"/>
        <v>Sufficient</v>
      </c>
      <c r="H76" s="1">
        <f t="shared" si="4"/>
        <v>1439961</v>
      </c>
      <c r="I76" s="1">
        <f t="shared" si="5"/>
        <v>4173.8</v>
      </c>
    </row>
    <row r="77" spans="1:9" x14ac:dyDescent="0.3">
      <c r="A77" s="1" t="s">
        <v>94</v>
      </c>
      <c r="B77" s="1" t="s">
        <v>29</v>
      </c>
      <c r="C77" s="1">
        <v>182</v>
      </c>
      <c r="D77" s="1">
        <v>47</v>
      </c>
      <c r="E77" s="1" t="s">
        <v>10</v>
      </c>
      <c r="F77" s="1">
        <v>69955</v>
      </c>
      <c r="G77" s="1" t="str">
        <f t="shared" si="3"/>
        <v>Sufficient</v>
      </c>
      <c r="H77" s="1">
        <f t="shared" si="4"/>
        <v>12731810</v>
      </c>
      <c r="I77" s="1">
        <f t="shared" si="5"/>
        <v>13991</v>
      </c>
    </row>
    <row r="78" spans="1:9" x14ac:dyDescent="0.3">
      <c r="A78" s="1" t="s">
        <v>95</v>
      </c>
      <c r="B78" s="1" t="s">
        <v>15</v>
      </c>
      <c r="C78" s="1">
        <v>17</v>
      </c>
      <c r="D78" s="1">
        <v>38</v>
      </c>
      <c r="E78" s="1" t="s">
        <v>10</v>
      </c>
      <c r="F78" s="1">
        <v>69328</v>
      </c>
      <c r="G78" s="1" t="str">
        <f t="shared" si="3"/>
        <v>Low Stock</v>
      </c>
      <c r="H78" s="1">
        <f t="shared" si="4"/>
        <v>1178576</v>
      </c>
      <c r="I78" s="1">
        <f t="shared" si="5"/>
        <v>13865.6</v>
      </c>
    </row>
    <row r="79" spans="1:9" x14ac:dyDescent="0.3">
      <c r="A79" s="1" t="s">
        <v>96</v>
      </c>
      <c r="B79" s="1" t="s">
        <v>29</v>
      </c>
      <c r="C79" s="1">
        <v>43</v>
      </c>
      <c r="D79" s="1">
        <v>48</v>
      </c>
      <c r="E79" s="1" t="s">
        <v>10</v>
      </c>
      <c r="F79" s="1">
        <v>68190</v>
      </c>
      <c r="G79" s="1" t="str">
        <f t="shared" si="3"/>
        <v>Low Stock</v>
      </c>
      <c r="H79" s="1">
        <f t="shared" si="4"/>
        <v>2932170</v>
      </c>
      <c r="I79" s="1">
        <f t="shared" si="5"/>
        <v>13638</v>
      </c>
    </row>
    <row r="80" spans="1:9" x14ac:dyDescent="0.3">
      <c r="A80" s="1" t="s">
        <v>97</v>
      </c>
      <c r="B80" s="1" t="s">
        <v>18</v>
      </c>
      <c r="C80" s="1">
        <v>135</v>
      </c>
      <c r="D80" s="1">
        <v>33</v>
      </c>
      <c r="E80" s="1" t="s">
        <v>26</v>
      </c>
      <c r="F80" s="1">
        <v>78679</v>
      </c>
      <c r="G80" s="1" t="str">
        <f t="shared" si="3"/>
        <v>Sufficient</v>
      </c>
      <c r="H80" s="1">
        <f t="shared" si="4"/>
        <v>10621665</v>
      </c>
      <c r="I80" s="1">
        <f t="shared" si="5"/>
        <v>15735.800000000001</v>
      </c>
    </row>
    <row r="81" spans="1:9" x14ac:dyDescent="0.3">
      <c r="A81" s="1" t="s">
        <v>98</v>
      </c>
      <c r="B81" s="1" t="s">
        <v>7</v>
      </c>
      <c r="C81" s="1">
        <v>132</v>
      </c>
      <c r="D81" s="1">
        <v>41</v>
      </c>
      <c r="E81" s="1" t="s">
        <v>16</v>
      </c>
      <c r="F81" s="1">
        <v>63309</v>
      </c>
      <c r="G81" s="1" t="str">
        <f t="shared" si="3"/>
        <v>Sufficient</v>
      </c>
      <c r="H81" s="1">
        <f t="shared" si="4"/>
        <v>8356788</v>
      </c>
      <c r="I81" s="1">
        <f t="shared" si="5"/>
        <v>12661.800000000001</v>
      </c>
    </row>
    <row r="82" spans="1:9" x14ac:dyDescent="0.3">
      <c r="A82" s="1" t="s">
        <v>99</v>
      </c>
      <c r="B82" s="1" t="s">
        <v>25</v>
      </c>
      <c r="C82" s="1">
        <v>47</v>
      </c>
      <c r="D82" s="1">
        <v>32</v>
      </c>
      <c r="E82" s="1" t="s">
        <v>26</v>
      </c>
      <c r="F82" s="1">
        <v>77228</v>
      </c>
      <c r="G82" s="1" t="str">
        <f t="shared" si="3"/>
        <v>Sufficient</v>
      </c>
      <c r="H82" s="1">
        <f t="shared" si="4"/>
        <v>3629716</v>
      </c>
      <c r="I82" s="1">
        <f t="shared" si="5"/>
        <v>15445.6</v>
      </c>
    </row>
    <row r="83" spans="1:9" x14ac:dyDescent="0.3">
      <c r="A83" s="1" t="s">
        <v>100</v>
      </c>
      <c r="B83" s="1" t="s">
        <v>23</v>
      </c>
      <c r="C83" s="1">
        <v>168</v>
      </c>
      <c r="D83" s="1">
        <v>43</v>
      </c>
      <c r="E83" s="1" t="s">
        <v>26</v>
      </c>
      <c r="F83" s="1">
        <v>27791</v>
      </c>
      <c r="G83" s="1" t="str">
        <f t="shared" si="3"/>
        <v>Sufficient</v>
      </c>
      <c r="H83" s="1">
        <f t="shared" si="4"/>
        <v>4668888</v>
      </c>
      <c r="I83" s="1">
        <f t="shared" si="5"/>
        <v>5558.2000000000007</v>
      </c>
    </row>
    <row r="84" spans="1:9" x14ac:dyDescent="0.3">
      <c r="A84" s="1" t="s">
        <v>101</v>
      </c>
      <c r="B84" s="1" t="s">
        <v>7</v>
      </c>
      <c r="C84" s="1">
        <v>150</v>
      </c>
      <c r="D84" s="1">
        <v>21</v>
      </c>
      <c r="E84" s="1" t="s">
        <v>10</v>
      </c>
      <c r="F84" s="1">
        <v>72006</v>
      </c>
      <c r="G84" s="1" t="str">
        <f t="shared" si="3"/>
        <v>Sufficient</v>
      </c>
      <c r="H84" s="1">
        <f t="shared" si="4"/>
        <v>10800900</v>
      </c>
      <c r="I84" s="1">
        <f t="shared" si="5"/>
        <v>14401.2</v>
      </c>
    </row>
    <row r="85" spans="1:9" x14ac:dyDescent="0.3">
      <c r="A85" s="1" t="s">
        <v>102</v>
      </c>
      <c r="B85" s="1" t="s">
        <v>12</v>
      </c>
      <c r="C85" s="1">
        <v>161</v>
      </c>
      <c r="D85" s="1">
        <v>13</v>
      </c>
      <c r="E85" s="1" t="s">
        <v>16</v>
      </c>
      <c r="F85" s="1">
        <v>77723</v>
      </c>
      <c r="G85" s="1" t="str">
        <f t="shared" si="3"/>
        <v>Sufficient</v>
      </c>
      <c r="H85" s="1">
        <f t="shared" si="4"/>
        <v>12513403</v>
      </c>
      <c r="I85" s="1">
        <f t="shared" si="5"/>
        <v>15544.6</v>
      </c>
    </row>
    <row r="86" spans="1:9" x14ac:dyDescent="0.3">
      <c r="A86" s="1" t="s">
        <v>103</v>
      </c>
      <c r="B86" s="1" t="s">
        <v>23</v>
      </c>
      <c r="C86" s="1">
        <v>3</v>
      </c>
      <c r="D86" s="1">
        <v>42</v>
      </c>
      <c r="E86" s="1" t="s">
        <v>26</v>
      </c>
      <c r="F86" s="1">
        <v>31253</v>
      </c>
      <c r="G86" s="1" t="str">
        <f t="shared" si="3"/>
        <v>Low Stock</v>
      </c>
      <c r="H86" s="1">
        <f t="shared" si="4"/>
        <v>93759</v>
      </c>
      <c r="I86" s="1">
        <f t="shared" si="5"/>
        <v>6250.6</v>
      </c>
    </row>
    <row r="87" spans="1:9" x14ac:dyDescent="0.3">
      <c r="A87" s="1" t="s">
        <v>104</v>
      </c>
      <c r="B87" s="1" t="s">
        <v>15</v>
      </c>
      <c r="C87" s="1">
        <v>44</v>
      </c>
      <c r="D87" s="1">
        <v>28</v>
      </c>
      <c r="E87" s="1" t="s">
        <v>10</v>
      </c>
      <c r="F87" s="1">
        <v>26450</v>
      </c>
      <c r="G87" s="1" t="str">
        <f t="shared" si="3"/>
        <v>Sufficient</v>
      </c>
      <c r="H87" s="1">
        <f t="shared" si="4"/>
        <v>1163800</v>
      </c>
      <c r="I87" s="1">
        <f t="shared" si="5"/>
        <v>5290</v>
      </c>
    </row>
    <row r="88" spans="1:9" x14ac:dyDescent="0.3">
      <c r="A88" s="1" t="s">
        <v>105</v>
      </c>
      <c r="B88" s="1" t="s">
        <v>7</v>
      </c>
      <c r="C88" s="1">
        <v>191</v>
      </c>
      <c r="D88" s="1">
        <v>22</v>
      </c>
      <c r="E88" s="1" t="s">
        <v>10</v>
      </c>
      <c r="F88" s="1">
        <v>11775</v>
      </c>
      <c r="G88" s="1" t="str">
        <f t="shared" si="3"/>
        <v>Sufficient</v>
      </c>
      <c r="H88" s="1">
        <f t="shared" si="4"/>
        <v>2249025</v>
      </c>
      <c r="I88" s="1">
        <f t="shared" si="5"/>
        <v>2355</v>
      </c>
    </row>
    <row r="89" spans="1:9" x14ac:dyDescent="0.3">
      <c r="A89" s="1" t="s">
        <v>106</v>
      </c>
      <c r="B89" s="1" t="s">
        <v>20</v>
      </c>
      <c r="C89" s="1">
        <v>72</v>
      </c>
      <c r="D89" s="1">
        <v>34</v>
      </c>
      <c r="E89" s="1" t="s">
        <v>10</v>
      </c>
      <c r="F89" s="1">
        <v>18972</v>
      </c>
      <c r="G89" s="1" t="str">
        <f t="shared" si="3"/>
        <v>Sufficient</v>
      </c>
      <c r="H89" s="1">
        <f t="shared" si="4"/>
        <v>1365984</v>
      </c>
      <c r="I89" s="1">
        <f t="shared" si="5"/>
        <v>3794.4</v>
      </c>
    </row>
    <row r="90" spans="1:9" x14ac:dyDescent="0.3">
      <c r="A90" s="1" t="s">
        <v>107</v>
      </c>
      <c r="B90" s="1" t="s">
        <v>7</v>
      </c>
      <c r="C90" s="1">
        <v>106</v>
      </c>
      <c r="D90" s="1">
        <v>13</v>
      </c>
      <c r="E90" s="1" t="s">
        <v>16</v>
      </c>
      <c r="F90" s="1">
        <v>47761</v>
      </c>
      <c r="G90" s="1" t="str">
        <f t="shared" si="3"/>
        <v>Sufficient</v>
      </c>
      <c r="H90" s="1">
        <f t="shared" si="4"/>
        <v>5062666</v>
      </c>
      <c r="I90" s="1">
        <f t="shared" si="5"/>
        <v>9552.2000000000007</v>
      </c>
    </row>
    <row r="91" spans="1:9" x14ac:dyDescent="0.3">
      <c r="A91" s="1" t="s">
        <v>108</v>
      </c>
      <c r="B91" s="1" t="s">
        <v>18</v>
      </c>
      <c r="C91" s="1">
        <v>102</v>
      </c>
      <c r="D91" s="1">
        <v>11</v>
      </c>
      <c r="E91" s="1" t="s">
        <v>16</v>
      </c>
      <c r="F91" s="1">
        <v>45885</v>
      </c>
      <c r="G91" s="1" t="str">
        <f t="shared" si="3"/>
        <v>Sufficient</v>
      </c>
      <c r="H91" s="1">
        <f t="shared" si="4"/>
        <v>4680270</v>
      </c>
      <c r="I91" s="1">
        <f t="shared" si="5"/>
        <v>9177</v>
      </c>
    </row>
    <row r="92" spans="1:9" x14ac:dyDescent="0.3">
      <c r="A92" s="1" t="s">
        <v>109</v>
      </c>
      <c r="B92" s="1" t="s">
        <v>25</v>
      </c>
      <c r="C92" s="1">
        <v>68</v>
      </c>
      <c r="D92" s="1">
        <v>46</v>
      </c>
      <c r="E92" s="1" t="s">
        <v>26</v>
      </c>
      <c r="F92" s="1">
        <v>54971</v>
      </c>
      <c r="G92" s="1" t="str">
        <f t="shared" si="3"/>
        <v>Sufficient</v>
      </c>
      <c r="H92" s="1">
        <f t="shared" si="4"/>
        <v>3738028</v>
      </c>
      <c r="I92" s="1">
        <f t="shared" si="5"/>
        <v>10994.2</v>
      </c>
    </row>
    <row r="93" spans="1:9" x14ac:dyDescent="0.3">
      <c r="A93" s="1" t="s">
        <v>110</v>
      </c>
      <c r="B93" s="1" t="s">
        <v>23</v>
      </c>
      <c r="C93" s="1">
        <v>163</v>
      </c>
      <c r="D93" s="1">
        <v>34</v>
      </c>
      <c r="E93" s="1" t="s">
        <v>16</v>
      </c>
      <c r="F93" s="1">
        <v>54252</v>
      </c>
      <c r="G93" s="1" t="str">
        <f t="shared" si="3"/>
        <v>Sufficient</v>
      </c>
      <c r="H93" s="1">
        <f t="shared" si="4"/>
        <v>8843076</v>
      </c>
      <c r="I93" s="1">
        <f t="shared" si="5"/>
        <v>10850.400000000001</v>
      </c>
    </row>
    <row r="94" spans="1:9" x14ac:dyDescent="0.3">
      <c r="A94" s="1" t="s">
        <v>111</v>
      </c>
      <c r="B94" s="1" t="s">
        <v>25</v>
      </c>
      <c r="C94" s="1">
        <v>52</v>
      </c>
      <c r="D94" s="1">
        <v>50</v>
      </c>
      <c r="E94" s="1" t="s">
        <v>13</v>
      </c>
      <c r="F94" s="1">
        <v>68009</v>
      </c>
      <c r="G94" s="1" t="str">
        <f t="shared" si="3"/>
        <v>Sufficient</v>
      </c>
      <c r="H94" s="1">
        <f t="shared" si="4"/>
        <v>3536468</v>
      </c>
      <c r="I94" s="1">
        <f t="shared" si="5"/>
        <v>13601.800000000001</v>
      </c>
    </row>
    <row r="95" spans="1:9" x14ac:dyDescent="0.3">
      <c r="A95" s="1" t="s">
        <v>112</v>
      </c>
      <c r="B95" s="1" t="s">
        <v>29</v>
      </c>
      <c r="C95" s="1">
        <v>66</v>
      </c>
      <c r="D95" s="1">
        <v>21</v>
      </c>
      <c r="E95" s="1" t="s">
        <v>8</v>
      </c>
      <c r="F95" s="1">
        <v>38349</v>
      </c>
      <c r="G95" s="1" t="str">
        <f t="shared" si="3"/>
        <v>Sufficient</v>
      </c>
      <c r="H95" s="1">
        <f t="shared" si="4"/>
        <v>2531034</v>
      </c>
      <c r="I95" s="1">
        <f t="shared" si="5"/>
        <v>7669.8</v>
      </c>
    </row>
    <row r="96" spans="1:9" x14ac:dyDescent="0.3">
      <c r="A96" s="1" t="s">
        <v>113</v>
      </c>
      <c r="B96" s="1" t="s">
        <v>18</v>
      </c>
      <c r="C96" s="1">
        <v>84</v>
      </c>
      <c r="D96" s="1">
        <v>21</v>
      </c>
      <c r="E96" s="1" t="s">
        <v>10</v>
      </c>
      <c r="F96" s="1">
        <v>2370</v>
      </c>
      <c r="G96" s="1" t="str">
        <f t="shared" si="3"/>
        <v>Sufficient</v>
      </c>
      <c r="H96" s="1">
        <f t="shared" si="4"/>
        <v>199080</v>
      </c>
      <c r="I96" s="1">
        <f t="shared" si="5"/>
        <v>474</v>
      </c>
    </row>
    <row r="97" spans="1:9" x14ac:dyDescent="0.3">
      <c r="A97" s="1" t="s">
        <v>114</v>
      </c>
      <c r="B97" s="1" t="s">
        <v>15</v>
      </c>
      <c r="C97" s="1">
        <v>166</v>
      </c>
      <c r="D97" s="1">
        <v>44</v>
      </c>
      <c r="E97" s="1" t="s">
        <v>16</v>
      </c>
      <c r="F97" s="1">
        <v>50609</v>
      </c>
      <c r="G97" s="1" t="str">
        <f t="shared" si="3"/>
        <v>Sufficient</v>
      </c>
      <c r="H97" s="1">
        <f t="shared" si="4"/>
        <v>8401094</v>
      </c>
      <c r="I97" s="1">
        <f t="shared" si="5"/>
        <v>10121.800000000001</v>
      </c>
    </row>
    <row r="98" spans="1:9" x14ac:dyDescent="0.3">
      <c r="A98" s="1" t="s">
        <v>115</v>
      </c>
      <c r="B98" s="1" t="s">
        <v>12</v>
      </c>
      <c r="C98" s="1">
        <v>163</v>
      </c>
      <c r="D98" s="1">
        <v>16</v>
      </c>
      <c r="E98" s="1" t="s">
        <v>13</v>
      </c>
      <c r="F98" s="1">
        <v>62764</v>
      </c>
      <c r="G98" s="1" t="str">
        <f t="shared" si="3"/>
        <v>Sufficient</v>
      </c>
      <c r="H98" s="1">
        <f t="shared" si="4"/>
        <v>10230532</v>
      </c>
      <c r="I98" s="1">
        <f t="shared" si="5"/>
        <v>12552.800000000001</v>
      </c>
    </row>
    <row r="99" spans="1:9" x14ac:dyDescent="0.3">
      <c r="A99" s="1" t="s">
        <v>116</v>
      </c>
      <c r="B99" s="1" t="s">
        <v>25</v>
      </c>
      <c r="C99" s="1">
        <v>184</v>
      </c>
      <c r="D99" s="1">
        <v>25</v>
      </c>
      <c r="E99" s="1" t="s">
        <v>10</v>
      </c>
      <c r="F99" s="1">
        <v>77668</v>
      </c>
      <c r="G99" s="1" t="str">
        <f t="shared" si="3"/>
        <v>Sufficient</v>
      </c>
      <c r="H99" s="1">
        <f t="shared" si="4"/>
        <v>14290912</v>
      </c>
      <c r="I99" s="1">
        <f t="shared" si="5"/>
        <v>15533.6</v>
      </c>
    </row>
    <row r="100" spans="1:9" x14ac:dyDescent="0.3">
      <c r="A100" s="1" t="s">
        <v>117</v>
      </c>
      <c r="B100" s="1" t="s">
        <v>7</v>
      </c>
      <c r="C100" s="1">
        <v>88</v>
      </c>
      <c r="D100" s="1">
        <v>48</v>
      </c>
      <c r="E100" s="1" t="s">
        <v>16</v>
      </c>
      <c r="F100" s="1">
        <v>12752</v>
      </c>
      <c r="G100" s="1" t="str">
        <f t="shared" si="3"/>
        <v>Sufficient</v>
      </c>
      <c r="H100" s="1">
        <f t="shared" si="4"/>
        <v>1122176</v>
      </c>
      <c r="I100" s="1">
        <f t="shared" si="5"/>
        <v>2550.4</v>
      </c>
    </row>
    <row r="101" spans="1:9" x14ac:dyDescent="0.3">
      <c r="A101" s="1" t="s">
        <v>118</v>
      </c>
      <c r="B101" s="1" t="s">
        <v>7</v>
      </c>
      <c r="C101" s="1">
        <v>37</v>
      </c>
      <c r="D101" s="1">
        <v>46</v>
      </c>
      <c r="E101" s="1" t="s">
        <v>10</v>
      </c>
      <c r="F101" s="1">
        <v>30927</v>
      </c>
      <c r="G101" s="1" t="str">
        <f t="shared" si="3"/>
        <v>Low Stock</v>
      </c>
      <c r="H101" s="1">
        <f t="shared" si="4"/>
        <v>1144299</v>
      </c>
      <c r="I101" s="1">
        <f t="shared" si="5"/>
        <v>6185.4000000000005</v>
      </c>
    </row>
    <row r="102" spans="1:9" x14ac:dyDescent="0.3">
      <c r="A102" s="1" t="s">
        <v>119</v>
      </c>
      <c r="B102" s="1" t="s">
        <v>25</v>
      </c>
      <c r="C102" s="1">
        <v>7</v>
      </c>
      <c r="D102" s="1">
        <v>18</v>
      </c>
      <c r="E102" s="1" t="s">
        <v>13</v>
      </c>
      <c r="F102" s="1">
        <v>34777</v>
      </c>
      <c r="G102" s="1" t="str">
        <f t="shared" si="3"/>
        <v>Low Stock</v>
      </c>
      <c r="H102" s="1">
        <f t="shared" si="4"/>
        <v>243439</v>
      </c>
      <c r="I102" s="1">
        <f t="shared" si="5"/>
        <v>6955.4000000000005</v>
      </c>
    </row>
    <row r="103" spans="1:9" x14ac:dyDescent="0.3">
      <c r="A103" s="1" t="s">
        <v>120</v>
      </c>
      <c r="B103" s="1" t="s">
        <v>23</v>
      </c>
      <c r="C103" s="1">
        <v>140</v>
      </c>
      <c r="D103" s="1">
        <v>43</v>
      </c>
      <c r="E103" s="1" t="s">
        <v>10</v>
      </c>
      <c r="F103" s="1">
        <v>41741</v>
      </c>
      <c r="G103" s="1" t="str">
        <f t="shared" si="3"/>
        <v>Sufficient</v>
      </c>
      <c r="H103" s="1">
        <f t="shared" si="4"/>
        <v>5843740</v>
      </c>
      <c r="I103" s="1">
        <f t="shared" si="5"/>
        <v>8348.2000000000007</v>
      </c>
    </row>
    <row r="104" spans="1:9" x14ac:dyDescent="0.3">
      <c r="A104" s="1" t="s">
        <v>121</v>
      </c>
      <c r="B104" s="1" t="s">
        <v>20</v>
      </c>
      <c r="C104" s="1">
        <v>111</v>
      </c>
      <c r="D104" s="1">
        <v>50</v>
      </c>
      <c r="E104" s="1" t="s">
        <v>26</v>
      </c>
      <c r="F104" s="1">
        <v>29170</v>
      </c>
      <c r="G104" s="1" t="str">
        <f t="shared" si="3"/>
        <v>Sufficient</v>
      </c>
      <c r="H104" s="1">
        <f t="shared" si="4"/>
        <v>3237870</v>
      </c>
      <c r="I104" s="1">
        <f t="shared" si="5"/>
        <v>5834</v>
      </c>
    </row>
    <row r="105" spans="1:9" x14ac:dyDescent="0.3">
      <c r="A105" s="1" t="s">
        <v>122</v>
      </c>
      <c r="B105" s="1" t="s">
        <v>20</v>
      </c>
      <c r="C105" s="1">
        <v>196</v>
      </c>
      <c r="D105" s="1">
        <v>45</v>
      </c>
      <c r="E105" s="1" t="s">
        <v>26</v>
      </c>
      <c r="F105" s="1">
        <v>29893</v>
      </c>
      <c r="G105" s="1" t="str">
        <f t="shared" si="3"/>
        <v>Sufficient</v>
      </c>
      <c r="H105" s="1">
        <f t="shared" si="4"/>
        <v>5859028</v>
      </c>
      <c r="I105" s="1">
        <f t="shared" si="5"/>
        <v>5978.6</v>
      </c>
    </row>
    <row r="106" spans="1:9" x14ac:dyDescent="0.3">
      <c r="A106" s="1" t="s">
        <v>123</v>
      </c>
      <c r="B106" s="1" t="s">
        <v>18</v>
      </c>
      <c r="C106" s="1">
        <v>139</v>
      </c>
      <c r="D106" s="1">
        <v>26</v>
      </c>
      <c r="E106" s="1" t="s">
        <v>13</v>
      </c>
      <c r="F106" s="1">
        <v>14608</v>
      </c>
      <c r="G106" s="1" t="str">
        <f t="shared" si="3"/>
        <v>Sufficient</v>
      </c>
      <c r="H106" s="1">
        <f t="shared" si="4"/>
        <v>2030512</v>
      </c>
      <c r="I106" s="1">
        <f t="shared" si="5"/>
        <v>2921.6000000000004</v>
      </c>
    </row>
    <row r="107" spans="1:9" x14ac:dyDescent="0.3">
      <c r="A107" s="1" t="s">
        <v>124</v>
      </c>
      <c r="B107" s="1" t="s">
        <v>25</v>
      </c>
      <c r="C107" s="1">
        <v>102</v>
      </c>
      <c r="D107" s="1">
        <v>29</v>
      </c>
      <c r="E107" s="1" t="s">
        <v>16</v>
      </c>
      <c r="F107" s="1">
        <v>59996</v>
      </c>
      <c r="G107" s="1" t="str">
        <f t="shared" si="3"/>
        <v>Sufficient</v>
      </c>
      <c r="H107" s="1">
        <f t="shared" si="4"/>
        <v>6119592</v>
      </c>
      <c r="I107" s="1">
        <f t="shared" si="5"/>
        <v>11999.2</v>
      </c>
    </row>
    <row r="108" spans="1:9" x14ac:dyDescent="0.3">
      <c r="A108" s="1" t="s">
        <v>125</v>
      </c>
      <c r="B108" s="1" t="s">
        <v>12</v>
      </c>
      <c r="C108" s="1">
        <v>154</v>
      </c>
      <c r="D108" s="1">
        <v>34</v>
      </c>
      <c r="E108" s="1" t="s">
        <v>10</v>
      </c>
      <c r="F108" s="1">
        <v>66500</v>
      </c>
      <c r="G108" s="1" t="str">
        <f t="shared" si="3"/>
        <v>Sufficient</v>
      </c>
      <c r="H108" s="1">
        <f t="shared" si="4"/>
        <v>10241000</v>
      </c>
      <c r="I108" s="1">
        <f t="shared" si="5"/>
        <v>13300</v>
      </c>
    </row>
    <row r="109" spans="1:9" x14ac:dyDescent="0.3">
      <c r="A109" s="1" t="s">
        <v>126</v>
      </c>
      <c r="B109" s="1" t="s">
        <v>12</v>
      </c>
      <c r="C109" s="1">
        <v>24</v>
      </c>
      <c r="D109" s="1">
        <v>34</v>
      </c>
      <c r="E109" s="1" t="s">
        <v>8</v>
      </c>
      <c r="F109" s="1">
        <v>38169</v>
      </c>
      <c r="G109" s="1" t="str">
        <f t="shared" si="3"/>
        <v>Low Stock</v>
      </c>
      <c r="H109" s="1">
        <f t="shared" si="4"/>
        <v>916056</v>
      </c>
      <c r="I109" s="1">
        <f t="shared" si="5"/>
        <v>7633.8</v>
      </c>
    </row>
    <row r="110" spans="1:9" x14ac:dyDescent="0.3">
      <c r="A110" s="1" t="s">
        <v>127</v>
      </c>
      <c r="B110" s="1" t="s">
        <v>25</v>
      </c>
      <c r="C110" s="1">
        <v>42</v>
      </c>
      <c r="D110" s="1">
        <v>22</v>
      </c>
      <c r="E110" s="1" t="s">
        <v>10</v>
      </c>
      <c r="F110" s="1">
        <v>12112</v>
      </c>
      <c r="G110" s="1" t="str">
        <f t="shared" si="3"/>
        <v>Sufficient</v>
      </c>
      <c r="H110" s="1">
        <f t="shared" si="4"/>
        <v>508704</v>
      </c>
      <c r="I110" s="1">
        <f t="shared" si="5"/>
        <v>2422.4</v>
      </c>
    </row>
    <row r="111" spans="1:9" x14ac:dyDescent="0.3">
      <c r="A111" s="1" t="s">
        <v>128</v>
      </c>
      <c r="B111" s="1" t="s">
        <v>20</v>
      </c>
      <c r="C111" s="1">
        <v>38</v>
      </c>
      <c r="D111" s="1">
        <v>25</v>
      </c>
      <c r="E111" s="1" t="s">
        <v>13</v>
      </c>
      <c r="F111" s="1">
        <v>41901</v>
      </c>
      <c r="G111" s="1" t="str">
        <f t="shared" si="3"/>
        <v>Sufficient</v>
      </c>
      <c r="H111" s="1">
        <f t="shared" si="4"/>
        <v>1592238</v>
      </c>
      <c r="I111" s="1">
        <f t="shared" si="5"/>
        <v>8380.2000000000007</v>
      </c>
    </row>
    <row r="112" spans="1:9" x14ac:dyDescent="0.3">
      <c r="A112" s="1" t="s">
        <v>129</v>
      </c>
      <c r="B112" s="1" t="s">
        <v>15</v>
      </c>
      <c r="C112" s="1">
        <v>150</v>
      </c>
      <c r="D112" s="1">
        <v>35</v>
      </c>
      <c r="E112" s="1" t="s">
        <v>26</v>
      </c>
      <c r="F112" s="1">
        <v>49748</v>
      </c>
      <c r="G112" s="1" t="str">
        <f t="shared" si="3"/>
        <v>Sufficient</v>
      </c>
      <c r="H112" s="1">
        <f t="shared" si="4"/>
        <v>7462200</v>
      </c>
      <c r="I112" s="1">
        <f t="shared" si="5"/>
        <v>9949.6</v>
      </c>
    </row>
    <row r="113" spans="1:9" x14ac:dyDescent="0.3">
      <c r="A113" s="1" t="s">
        <v>130</v>
      </c>
      <c r="B113" s="1" t="s">
        <v>12</v>
      </c>
      <c r="C113" s="1">
        <v>54</v>
      </c>
      <c r="D113" s="1">
        <v>36</v>
      </c>
      <c r="E113" s="1" t="s">
        <v>8</v>
      </c>
      <c r="F113" s="1">
        <v>39003</v>
      </c>
      <c r="G113" s="1" t="str">
        <f t="shared" si="3"/>
        <v>Sufficient</v>
      </c>
      <c r="H113" s="1">
        <f t="shared" si="4"/>
        <v>2106162</v>
      </c>
      <c r="I113" s="1">
        <f t="shared" si="5"/>
        <v>7800.6</v>
      </c>
    </row>
    <row r="114" spans="1:9" x14ac:dyDescent="0.3">
      <c r="A114" s="1" t="s">
        <v>131</v>
      </c>
      <c r="B114" s="1" t="s">
        <v>20</v>
      </c>
      <c r="C114" s="1">
        <v>53</v>
      </c>
      <c r="D114" s="1">
        <v>16</v>
      </c>
      <c r="E114" s="1" t="s">
        <v>8</v>
      </c>
      <c r="F114" s="1">
        <v>52666</v>
      </c>
      <c r="G114" s="1" t="str">
        <f t="shared" si="3"/>
        <v>Sufficient</v>
      </c>
      <c r="H114" s="1">
        <f t="shared" si="4"/>
        <v>2791298</v>
      </c>
      <c r="I114" s="1">
        <f t="shared" si="5"/>
        <v>10533.2</v>
      </c>
    </row>
    <row r="115" spans="1:9" x14ac:dyDescent="0.3">
      <c r="A115" s="1" t="s">
        <v>132</v>
      </c>
      <c r="B115" s="1" t="s">
        <v>29</v>
      </c>
      <c r="C115" s="1">
        <v>4</v>
      </c>
      <c r="D115" s="1">
        <v>27</v>
      </c>
      <c r="E115" s="1" t="s">
        <v>8</v>
      </c>
      <c r="F115" s="1">
        <v>20448</v>
      </c>
      <c r="G115" s="1" t="str">
        <f t="shared" si="3"/>
        <v>Low Stock</v>
      </c>
      <c r="H115" s="1">
        <f t="shared" si="4"/>
        <v>81792</v>
      </c>
      <c r="I115" s="1">
        <f t="shared" si="5"/>
        <v>4089.6000000000004</v>
      </c>
    </row>
    <row r="116" spans="1:9" x14ac:dyDescent="0.3">
      <c r="A116" s="1" t="s">
        <v>133</v>
      </c>
      <c r="B116" s="1" t="s">
        <v>20</v>
      </c>
      <c r="C116" s="1">
        <v>24</v>
      </c>
      <c r="D116" s="1">
        <v>20</v>
      </c>
      <c r="E116" s="1" t="s">
        <v>26</v>
      </c>
      <c r="F116" s="1">
        <v>79569</v>
      </c>
      <c r="G116" s="1" t="str">
        <f t="shared" si="3"/>
        <v>Sufficient</v>
      </c>
      <c r="H116" s="1">
        <f t="shared" si="4"/>
        <v>1909656</v>
      </c>
      <c r="I116" s="1">
        <f t="shared" si="5"/>
        <v>15913.800000000001</v>
      </c>
    </row>
    <row r="117" spans="1:9" x14ac:dyDescent="0.3">
      <c r="A117" s="1" t="s">
        <v>134</v>
      </c>
      <c r="B117" s="1" t="s">
        <v>23</v>
      </c>
      <c r="C117" s="1">
        <v>148</v>
      </c>
      <c r="D117" s="1">
        <v>39</v>
      </c>
      <c r="E117" s="1" t="s">
        <v>13</v>
      </c>
      <c r="F117" s="1">
        <v>56190</v>
      </c>
      <c r="G117" s="1" t="str">
        <f t="shared" si="3"/>
        <v>Sufficient</v>
      </c>
      <c r="H117" s="1">
        <f t="shared" si="4"/>
        <v>8316120</v>
      </c>
      <c r="I117" s="1">
        <f t="shared" si="5"/>
        <v>11238</v>
      </c>
    </row>
    <row r="118" spans="1:9" x14ac:dyDescent="0.3">
      <c r="A118" s="1" t="s">
        <v>135</v>
      </c>
      <c r="B118" s="1" t="s">
        <v>15</v>
      </c>
      <c r="C118" s="1">
        <v>166</v>
      </c>
      <c r="D118" s="1">
        <v>41</v>
      </c>
      <c r="E118" s="1" t="s">
        <v>8</v>
      </c>
      <c r="F118" s="1">
        <v>36912</v>
      </c>
      <c r="G118" s="1" t="str">
        <f t="shared" si="3"/>
        <v>Sufficient</v>
      </c>
      <c r="H118" s="1">
        <f t="shared" si="4"/>
        <v>6127392</v>
      </c>
      <c r="I118" s="1">
        <f t="shared" si="5"/>
        <v>7382.4000000000005</v>
      </c>
    </row>
    <row r="119" spans="1:9" x14ac:dyDescent="0.3">
      <c r="A119" s="1" t="s">
        <v>136</v>
      </c>
      <c r="B119" s="1" t="s">
        <v>20</v>
      </c>
      <c r="C119" s="1">
        <v>133</v>
      </c>
      <c r="D119" s="1">
        <v>10</v>
      </c>
      <c r="E119" s="1" t="s">
        <v>8</v>
      </c>
      <c r="F119" s="1">
        <v>55371</v>
      </c>
      <c r="G119" s="1" t="str">
        <f t="shared" si="3"/>
        <v>Sufficient</v>
      </c>
      <c r="H119" s="1">
        <f t="shared" si="4"/>
        <v>7364343</v>
      </c>
      <c r="I119" s="1">
        <f t="shared" si="5"/>
        <v>11074.2</v>
      </c>
    </row>
    <row r="120" spans="1:9" x14ac:dyDescent="0.3">
      <c r="A120" s="1" t="s">
        <v>137</v>
      </c>
      <c r="B120" s="1" t="s">
        <v>15</v>
      </c>
      <c r="C120" s="1">
        <v>31</v>
      </c>
      <c r="D120" s="1">
        <v>36</v>
      </c>
      <c r="E120" s="1" t="s">
        <v>16</v>
      </c>
      <c r="F120" s="1">
        <v>46407</v>
      </c>
      <c r="G120" s="1" t="str">
        <f t="shared" si="3"/>
        <v>Low Stock</v>
      </c>
      <c r="H120" s="1">
        <f t="shared" si="4"/>
        <v>1438617</v>
      </c>
      <c r="I120" s="1">
        <f t="shared" si="5"/>
        <v>9281.4</v>
      </c>
    </row>
    <row r="121" spans="1:9" x14ac:dyDescent="0.3">
      <c r="A121" s="1" t="s">
        <v>138</v>
      </c>
      <c r="B121" s="1" t="s">
        <v>12</v>
      </c>
      <c r="C121" s="1">
        <v>32</v>
      </c>
      <c r="D121" s="1">
        <v>33</v>
      </c>
      <c r="E121" s="1" t="s">
        <v>10</v>
      </c>
      <c r="F121" s="1">
        <v>73708</v>
      </c>
      <c r="G121" s="1" t="str">
        <f t="shared" si="3"/>
        <v>Low Stock</v>
      </c>
      <c r="H121" s="1">
        <f t="shared" si="4"/>
        <v>2358656</v>
      </c>
      <c r="I121" s="1">
        <f t="shared" si="5"/>
        <v>14741.6</v>
      </c>
    </row>
    <row r="122" spans="1:9" x14ac:dyDescent="0.3">
      <c r="A122" s="1" t="s">
        <v>139</v>
      </c>
      <c r="B122" s="1" t="s">
        <v>12</v>
      </c>
      <c r="C122" s="1">
        <v>102</v>
      </c>
      <c r="D122" s="1">
        <v>16</v>
      </c>
      <c r="E122" s="1" t="s">
        <v>8</v>
      </c>
      <c r="F122" s="1">
        <v>45496</v>
      </c>
      <c r="G122" s="1" t="str">
        <f t="shared" si="3"/>
        <v>Sufficient</v>
      </c>
      <c r="H122" s="1">
        <f t="shared" si="4"/>
        <v>4640592</v>
      </c>
      <c r="I122" s="1">
        <f t="shared" si="5"/>
        <v>9099.2000000000007</v>
      </c>
    </row>
    <row r="123" spans="1:9" x14ac:dyDescent="0.3">
      <c r="A123" s="1" t="s">
        <v>140</v>
      </c>
      <c r="B123" s="1" t="s">
        <v>12</v>
      </c>
      <c r="C123" s="1">
        <v>99</v>
      </c>
      <c r="D123" s="1">
        <v>34</v>
      </c>
      <c r="E123" s="1" t="s">
        <v>8</v>
      </c>
      <c r="F123" s="1">
        <v>65889</v>
      </c>
      <c r="G123" s="1" t="str">
        <f t="shared" si="3"/>
        <v>Sufficient</v>
      </c>
      <c r="H123" s="1">
        <f t="shared" si="4"/>
        <v>6523011</v>
      </c>
      <c r="I123" s="1">
        <f t="shared" si="5"/>
        <v>13177.800000000001</v>
      </c>
    </row>
    <row r="124" spans="1:9" x14ac:dyDescent="0.3">
      <c r="A124" s="1" t="s">
        <v>141</v>
      </c>
      <c r="B124" s="1" t="s">
        <v>29</v>
      </c>
      <c r="C124" s="1">
        <v>63</v>
      </c>
      <c r="D124" s="1">
        <v>12</v>
      </c>
      <c r="E124" s="1" t="s">
        <v>8</v>
      </c>
      <c r="F124" s="1">
        <v>55580</v>
      </c>
      <c r="G124" s="1" t="str">
        <f t="shared" si="3"/>
        <v>Sufficient</v>
      </c>
      <c r="H124" s="1">
        <f t="shared" si="4"/>
        <v>3501540</v>
      </c>
      <c r="I124" s="1">
        <f t="shared" si="5"/>
        <v>11116</v>
      </c>
    </row>
    <row r="125" spans="1:9" x14ac:dyDescent="0.3">
      <c r="A125" s="1" t="s">
        <v>142</v>
      </c>
      <c r="B125" s="1" t="s">
        <v>29</v>
      </c>
      <c r="C125" s="1">
        <v>122</v>
      </c>
      <c r="D125" s="1">
        <v>10</v>
      </c>
      <c r="E125" s="1" t="s">
        <v>16</v>
      </c>
      <c r="F125" s="1">
        <v>21394</v>
      </c>
      <c r="G125" s="1" t="str">
        <f t="shared" si="3"/>
        <v>Sufficient</v>
      </c>
      <c r="H125" s="1">
        <f t="shared" si="4"/>
        <v>2610068</v>
      </c>
      <c r="I125" s="1">
        <f t="shared" si="5"/>
        <v>4278.8</v>
      </c>
    </row>
    <row r="126" spans="1:9" x14ac:dyDescent="0.3">
      <c r="A126" s="1" t="s">
        <v>143</v>
      </c>
      <c r="B126" s="1" t="s">
        <v>25</v>
      </c>
      <c r="C126" s="1">
        <v>17</v>
      </c>
      <c r="D126" s="1">
        <v>37</v>
      </c>
      <c r="E126" s="1" t="s">
        <v>10</v>
      </c>
      <c r="F126" s="1">
        <v>74718</v>
      </c>
      <c r="G126" s="1" t="str">
        <f t="shared" si="3"/>
        <v>Low Stock</v>
      </c>
      <c r="H126" s="1">
        <f t="shared" si="4"/>
        <v>1270206</v>
      </c>
      <c r="I126" s="1">
        <f t="shared" si="5"/>
        <v>14943.6</v>
      </c>
    </row>
    <row r="127" spans="1:9" x14ac:dyDescent="0.3">
      <c r="A127" s="1" t="s">
        <v>144</v>
      </c>
      <c r="B127" s="1" t="s">
        <v>23</v>
      </c>
      <c r="C127" s="1">
        <v>197</v>
      </c>
      <c r="D127" s="1">
        <v>13</v>
      </c>
      <c r="E127" s="1" t="s">
        <v>16</v>
      </c>
      <c r="F127" s="1">
        <v>38020</v>
      </c>
      <c r="G127" s="1" t="str">
        <f t="shared" si="3"/>
        <v>Sufficient</v>
      </c>
      <c r="H127" s="1">
        <f t="shared" si="4"/>
        <v>7489940</v>
      </c>
      <c r="I127" s="1">
        <f t="shared" si="5"/>
        <v>7604</v>
      </c>
    </row>
    <row r="128" spans="1:9" x14ac:dyDescent="0.3">
      <c r="A128" s="1" t="s">
        <v>145</v>
      </c>
      <c r="B128" s="1" t="s">
        <v>18</v>
      </c>
      <c r="C128" s="1">
        <v>91</v>
      </c>
      <c r="D128" s="1">
        <v>42</v>
      </c>
      <c r="E128" s="1" t="s">
        <v>13</v>
      </c>
      <c r="F128" s="1">
        <v>33759</v>
      </c>
      <c r="G128" s="1" t="str">
        <f t="shared" si="3"/>
        <v>Sufficient</v>
      </c>
      <c r="H128" s="1">
        <f t="shared" si="4"/>
        <v>3072069</v>
      </c>
      <c r="I128" s="1">
        <f t="shared" si="5"/>
        <v>6751.8</v>
      </c>
    </row>
    <row r="129" spans="1:9" x14ac:dyDescent="0.3">
      <c r="A129" s="1" t="s">
        <v>146</v>
      </c>
      <c r="B129" s="1" t="s">
        <v>15</v>
      </c>
      <c r="C129" s="1">
        <v>110</v>
      </c>
      <c r="D129" s="1">
        <v>48</v>
      </c>
      <c r="E129" s="1" t="s">
        <v>10</v>
      </c>
      <c r="F129" s="1">
        <v>71533</v>
      </c>
      <c r="G129" s="1" t="str">
        <f t="shared" si="3"/>
        <v>Sufficient</v>
      </c>
      <c r="H129" s="1">
        <f t="shared" si="4"/>
        <v>7868630</v>
      </c>
      <c r="I129" s="1">
        <f t="shared" si="5"/>
        <v>14306.6</v>
      </c>
    </row>
    <row r="130" spans="1:9" x14ac:dyDescent="0.3">
      <c r="A130" s="1" t="s">
        <v>147</v>
      </c>
      <c r="B130" s="1" t="s">
        <v>23</v>
      </c>
      <c r="C130" s="1">
        <v>153</v>
      </c>
      <c r="D130" s="1">
        <v>42</v>
      </c>
      <c r="E130" s="1" t="s">
        <v>10</v>
      </c>
      <c r="F130" s="1">
        <v>78255</v>
      </c>
      <c r="G130" s="1" t="str">
        <f t="shared" si="3"/>
        <v>Sufficient</v>
      </c>
      <c r="H130" s="1">
        <f t="shared" si="4"/>
        <v>11973015</v>
      </c>
      <c r="I130" s="1">
        <f t="shared" si="5"/>
        <v>15651</v>
      </c>
    </row>
    <row r="131" spans="1:9" x14ac:dyDescent="0.3">
      <c r="A131" s="1" t="s">
        <v>148</v>
      </c>
      <c r="B131" s="1" t="s">
        <v>12</v>
      </c>
      <c r="C131" s="1">
        <v>37</v>
      </c>
      <c r="D131" s="1">
        <v>48</v>
      </c>
      <c r="E131" s="1" t="s">
        <v>8</v>
      </c>
      <c r="F131" s="1">
        <v>70557</v>
      </c>
      <c r="G131" s="1" t="str">
        <f t="shared" ref="G131:G194" si="6">IF(C131=0,"Pending",IF(C131&lt;=D131,"Low Stock", "Sufficient"))</f>
        <v>Low Stock</v>
      </c>
      <c r="H131" s="1">
        <f t="shared" ref="H131:H194" si="7">C131*F131</f>
        <v>2610609</v>
      </c>
      <c r="I131" s="1">
        <f t="shared" ref="I131:I194" si="8">F131*0.2</f>
        <v>14111.400000000001</v>
      </c>
    </row>
    <row r="132" spans="1:9" x14ac:dyDescent="0.3">
      <c r="A132" s="1" t="s">
        <v>149</v>
      </c>
      <c r="B132" s="1" t="s">
        <v>23</v>
      </c>
      <c r="C132" s="1">
        <v>34</v>
      </c>
      <c r="D132" s="1">
        <v>25</v>
      </c>
      <c r="E132" s="1" t="s">
        <v>16</v>
      </c>
      <c r="F132" s="1">
        <v>57031</v>
      </c>
      <c r="G132" s="1" t="str">
        <f t="shared" si="6"/>
        <v>Sufficient</v>
      </c>
      <c r="H132" s="1">
        <f t="shared" si="7"/>
        <v>1939054</v>
      </c>
      <c r="I132" s="1">
        <f t="shared" si="8"/>
        <v>11406.2</v>
      </c>
    </row>
    <row r="133" spans="1:9" x14ac:dyDescent="0.3">
      <c r="A133" s="1" t="s">
        <v>150</v>
      </c>
      <c r="B133" s="1" t="s">
        <v>12</v>
      </c>
      <c r="C133" s="1">
        <v>42</v>
      </c>
      <c r="D133" s="1">
        <v>32</v>
      </c>
      <c r="E133" s="1" t="s">
        <v>13</v>
      </c>
      <c r="F133" s="1">
        <v>42696</v>
      </c>
      <c r="G133" s="1" t="str">
        <f t="shared" si="6"/>
        <v>Sufficient</v>
      </c>
      <c r="H133" s="1">
        <f t="shared" si="7"/>
        <v>1793232</v>
      </c>
      <c r="I133" s="1">
        <f t="shared" si="8"/>
        <v>8539.2000000000007</v>
      </c>
    </row>
    <row r="134" spans="1:9" x14ac:dyDescent="0.3">
      <c r="A134" s="1" t="s">
        <v>151</v>
      </c>
      <c r="B134" s="1" t="s">
        <v>25</v>
      </c>
      <c r="C134" s="1">
        <v>120</v>
      </c>
      <c r="D134" s="1">
        <v>43</v>
      </c>
      <c r="E134" s="1" t="s">
        <v>13</v>
      </c>
      <c r="F134" s="1">
        <v>42497</v>
      </c>
      <c r="G134" s="1" t="str">
        <f t="shared" si="6"/>
        <v>Sufficient</v>
      </c>
      <c r="H134" s="1">
        <f t="shared" si="7"/>
        <v>5099640</v>
      </c>
      <c r="I134" s="1">
        <f t="shared" si="8"/>
        <v>8499.4</v>
      </c>
    </row>
    <row r="135" spans="1:9" x14ac:dyDescent="0.3">
      <c r="A135" s="1" t="s">
        <v>152</v>
      </c>
      <c r="B135" s="1" t="s">
        <v>23</v>
      </c>
      <c r="C135" s="1">
        <v>40</v>
      </c>
      <c r="D135" s="1">
        <v>10</v>
      </c>
      <c r="E135" s="1" t="s">
        <v>13</v>
      </c>
      <c r="F135" s="1">
        <v>46699</v>
      </c>
      <c r="G135" s="1" t="str">
        <f t="shared" si="6"/>
        <v>Sufficient</v>
      </c>
      <c r="H135" s="1">
        <f t="shared" si="7"/>
        <v>1867960</v>
      </c>
      <c r="I135" s="1">
        <f t="shared" si="8"/>
        <v>9339.8000000000011</v>
      </c>
    </row>
    <row r="136" spans="1:9" x14ac:dyDescent="0.3">
      <c r="A136" s="1" t="s">
        <v>153</v>
      </c>
      <c r="B136" s="1" t="s">
        <v>25</v>
      </c>
      <c r="C136" s="1">
        <v>191</v>
      </c>
      <c r="D136" s="1">
        <v>41</v>
      </c>
      <c r="E136" s="1" t="s">
        <v>26</v>
      </c>
      <c r="F136" s="1">
        <v>62870</v>
      </c>
      <c r="G136" s="1" t="str">
        <f t="shared" si="6"/>
        <v>Sufficient</v>
      </c>
      <c r="H136" s="1">
        <f t="shared" si="7"/>
        <v>12008170</v>
      </c>
      <c r="I136" s="1">
        <f t="shared" si="8"/>
        <v>12574</v>
      </c>
    </row>
    <row r="137" spans="1:9" x14ac:dyDescent="0.3">
      <c r="A137" s="1" t="s">
        <v>154</v>
      </c>
      <c r="B137" s="1" t="s">
        <v>18</v>
      </c>
      <c r="C137" s="1">
        <v>16</v>
      </c>
      <c r="D137" s="1">
        <v>11</v>
      </c>
      <c r="E137" s="1" t="s">
        <v>10</v>
      </c>
      <c r="F137" s="1">
        <v>23507</v>
      </c>
      <c r="G137" s="1" t="str">
        <f t="shared" si="6"/>
        <v>Sufficient</v>
      </c>
      <c r="H137" s="1">
        <f t="shared" si="7"/>
        <v>376112</v>
      </c>
      <c r="I137" s="1">
        <f t="shared" si="8"/>
        <v>4701.4000000000005</v>
      </c>
    </row>
    <row r="138" spans="1:9" x14ac:dyDescent="0.3">
      <c r="A138" s="1" t="s">
        <v>155</v>
      </c>
      <c r="B138" s="1" t="s">
        <v>20</v>
      </c>
      <c r="C138" s="1">
        <v>110</v>
      </c>
      <c r="D138" s="1">
        <v>44</v>
      </c>
      <c r="E138" s="1" t="s">
        <v>26</v>
      </c>
      <c r="F138" s="1">
        <v>57600</v>
      </c>
      <c r="G138" s="1" t="str">
        <f t="shared" si="6"/>
        <v>Sufficient</v>
      </c>
      <c r="H138" s="1">
        <f t="shared" si="7"/>
        <v>6336000</v>
      </c>
      <c r="I138" s="1">
        <f t="shared" si="8"/>
        <v>11520</v>
      </c>
    </row>
    <row r="139" spans="1:9" x14ac:dyDescent="0.3">
      <c r="A139" s="1" t="s">
        <v>156</v>
      </c>
      <c r="B139" s="1" t="s">
        <v>29</v>
      </c>
      <c r="C139" s="1">
        <v>147</v>
      </c>
      <c r="D139" s="1">
        <v>23</v>
      </c>
      <c r="E139" s="1" t="s">
        <v>13</v>
      </c>
      <c r="F139" s="1">
        <v>50607</v>
      </c>
      <c r="G139" s="1" t="str">
        <f t="shared" si="6"/>
        <v>Sufficient</v>
      </c>
      <c r="H139" s="1">
        <f t="shared" si="7"/>
        <v>7439229</v>
      </c>
      <c r="I139" s="1">
        <f t="shared" si="8"/>
        <v>10121.400000000001</v>
      </c>
    </row>
    <row r="140" spans="1:9" x14ac:dyDescent="0.3">
      <c r="A140" s="1" t="s">
        <v>157</v>
      </c>
      <c r="B140" s="1" t="s">
        <v>15</v>
      </c>
      <c r="C140" s="1">
        <v>116</v>
      </c>
      <c r="D140" s="1">
        <v>30</v>
      </c>
      <c r="E140" s="1" t="s">
        <v>10</v>
      </c>
      <c r="F140" s="1">
        <v>49738</v>
      </c>
      <c r="G140" s="1" t="str">
        <f t="shared" si="6"/>
        <v>Sufficient</v>
      </c>
      <c r="H140" s="1">
        <f t="shared" si="7"/>
        <v>5769608</v>
      </c>
      <c r="I140" s="1">
        <f t="shared" si="8"/>
        <v>9947.6</v>
      </c>
    </row>
    <row r="141" spans="1:9" x14ac:dyDescent="0.3">
      <c r="A141" s="1" t="s">
        <v>158</v>
      </c>
      <c r="B141" s="1" t="s">
        <v>12</v>
      </c>
      <c r="C141" s="1">
        <v>10</v>
      </c>
      <c r="D141" s="1">
        <v>37</v>
      </c>
      <c r="E141" s="1" t="s">
        <v>26</v>
      </c>
      <c r="F141" s="1">
        <v>34279</v>
      </c>
      <c r="G141" s="1" t="str">
        <f t="shared" si="6"/>
        <v>Low Stock</v>
      </c>
      <c r="H141" s="1">
        <f t="shared" si="7"/>
        <v>342790</v>
      </c>
      <c r="I141" s="1">
        <f t="shared" si="8"/>
        <v>6855.8</v>
      </c>
    </row>
    <row r="142" spans="1:9" x14ac:dyDescent="0.3">
      <c r="A142" s="1" t="s">
        <v>159</v>
      </c>
      <c r="B142" s="1" t="s">
        <v>7</v>
      </c>
      <c r="C142" s="1">
        <v>121</v>
      </c>
      <c r="D142" s="1">
        <v>32</v>
      </c>
      <c r="E142" s="1" t="s">
        <v>8</v>
      </c>
      <c r="F142" s="1">
        <v>17421</v>
      </c>
      <c r="G142" s="1" t="str">
        <f t="shared" si="6"/>
        <v>Sufficient</v>
      </c>
      <c r="H142" s="1">
        <f t="shared" si="7"/>
        <v>2107941</v>
      </c>
      <c r="I142" s="1">
        <f t="shared" si="8"/>
        <v>3484.2000000000003</v>
      </c>
    </row>
    <row r="143" spans="1:9" x14ac:dyDescent="0.3">
      <c r="A143" s="1" t="s">
        <v>160</v>
      </c>
      <c r="B143" s="1" t="s">
        <v>12</v>
      </c>
      <c r="C143" s="1">
        <v>141</v>
      </c>
      <c r="D143" s="1">
        <v>40</v>
      </c>
      <c r="E143" s="1" t="s">
        <v>26</v>
      </c>
      <c r="F143" s="1">
        <v>47867</v>
      </c>
      <c r="G143" s="1" t="str">
        <f t="shared" si="6"/>
        <v>Sufficient</v>
      </c>
      <c r="H143" s="1">
        <f t="shared" si="7"/>
        <v>6749247</v>
      </c>
      <c r="I143" s="1">
        <f t="shared" si="8"/>
        <v>9573.4</v>
      </c>
    </row>
    <row r="144" spans="1:9" x14ac:dyDescent="0.3">
      <c r="A144" s="1" t="s">
        <v>161</v>
      </c>
      <c r="B144" s="1" t="s">
        <v>18</v>
      </c>
      <c r="C144" s="1">
        <v>179</v>
      </c>
      <c r="D144" s="1">
        <v>37</v>
      </c>
      <c r="E144" s="1" t="s">
        <v>8</v>
      </c>
      <c r="F144" s="1">
        <v>21964</v>
      </c>
      <c r="G144" s="1" t="str">
        <f t="shared" si="6"/>
        <v>Sufficient</v>
      </c>
      <c r="H144" s="1">
        <f t="shared" si="7"/>
        <v>3931556</v>
      </c>
      <c r="I144" s="1">
        <f t="shared" si="8"/>
        <v>4392.8</v>
      </c>
    </row>
    <row r="145" spans="1:9" x14ac:dyDescent="0.3">
      <c r="A145" s="1" t="s">
        <v>162</v>
      </c>
      <c r="B145" s="1" t="s">
        <v>29</v>
      </c>
      <c r="C145" s="1">
        <v>120</v>
      </c>
      <c r="D145" s="1">
        <v>14</v>
      </c>
      <c r="E145" s="1" t="s">
        <v>8</v>
      </c>
      <c r="F145" s="1">
        <v>70560</v>
      </c>
      <c r="G145" s="1" t="str">
        <f t="shared" si="6"/>
        <v>Sufficient</v>
      </c>
      <c r="H145" s="1">
        <f t="shared" si="7"/>
        <v>8467200</v>
      </c>
      <c r="I145" s="1">
        <f t="shared" si="8"/>
        <v>14112</v>
      </c>
    </row>
    <row r="146" spans="1:9" x14ac:dyDescent="0.3">
      <c r="A146" s="1" t="s">
        <v>163</v>
      </c>
      <c r="B146" s="1" t="s">
        <v>25</v>
      </c>
      <c r="C146" s="1">
        <v>134</v>
      </c>
      <c r="D146" s="1">
        <v>18</v>
      </c>
      <c r="E146" s="1" t="s">
        <v>8</v>
      </c>
      <c r="F146" s="1">
        <v>19096</v>
      </c>
      <c r="G146" s="1" t="str">
        <f t="shared" si="6"/>
        <v>Sufficient</v>
      </c>
      <c r="H146" s="1">
        <f t="shared" si="7"/>
        <v>2558864</v>
      </c>
      <c r="I146" s="1">
        <f t="shared" si="8"/>
        <v>3819.2000000000003</v>
      </c>
    </row>
    <row r="147" spans="1:9" x14ac:dyDescent="0.3">
      <c r="A147" s="1" t="s">
        <v>164</v>
      </c>
      <c r="B147" s="1" t="s">
        <v>7</v>
      </c>
      <c r="C147" s="1">
        <v>200</v>
      </c>
      <c r="D147" s="1">
        <v>32</v>
      </c>
      <c r="E147" s="1" t="s">
        <v>8</v>
      </c>
      <c r="F147" s="1">
        <v>72138</v>
      </c>
      <c r="G147" s="1" t="str">
        <f t="shared" si="6"/>
        <v>Sufficient</v>
      </c>
      <c r="H147" s="1">
        <f t="shared" si="7"/>
        <v>14427600</v>
      </c>
      <c r="I147" s="1">
        <f t="shared" si="8"/>
        <v>14427.6</v>
      </c>
    </row>
    <row r="148" spans="1:9" x14ac:dyDescent="0.3">
      <c r="A148" s="1" t="s">
        <v>165</v>
      </c>
      <c r="B148" s="1" t="s">
        <v>18</v>
      </c>
      <c r="C148" s="1">
        <v>79</v>
      </c>
      <c r="D148" s="1">
        <v>20</v>
      </c>
      <c r="E148" s="1" t="s">
        <v>10</v>
      </c>
      <c r="F148" s="1">
        <v>968</v>
      </c>
      <c r="G148" s="1" t="str">
        <f t="shared" si="6"/>
        <v>Sufficient</v>
      </c>
      <c r="H148" s="1">
        <f t="shared" si="7"/>
        <v>76472</v>
      </c>
      <c r="I148" s="1">
        <f t="shared" si="8"/>
        <v>193.60000000000002</v>
      </c>
    </row>
    <row r="149" spans="1:9" x14ac:dyDescent="0.3">
      <c r="A149" s="1" t="s">
        <v>166</v>
      </c>
      <c r="B149" s="1" t="s">
        <v>12</v>
      </c>
      <c r="C149" s="1">
        <v>24</v>
      </c>
      <c r="D149" s="1">
        <v>13</v>
      </c>
      <c r="E149" s="1" t="s">
        <v>26</v>
      </c>
      <c r="F149" s="1">
        <v>48637</v>
      </c>
      <c r="G149" s="1" t="str">
        <f t="shared" si="6"/>
        <v>Sufficient</v>
      </c>
      <c r="H149" s="1">
        <f t="shared" si="7"/>
        <v>1167288</v>
      </c>
      <c r="I149" s="1">
        <f t="shared" si="8"/>
        <v>9727.4</v>
      </c>
    </row>
    <row r="150" spans="1:9" x14ac:dyDescent="0.3">
      <c r="A150" s="1" t="s">
        <v>167</v>
      </c>
      <c r="B150" s="1" t="s">
        <v>25</v>
      </c>
      <c r="C150" s="1">
        <v>109</v>
      </c>
      <c r="D150" s="1">
        <v>28</v>
      </c>
      <c r="E150" s="1" t="s">
        <v>10</v>
      </c>
      <c r="F150" s="1">
        <v>37914</v>
      </c>
      <c r="G150" s="1" t="str">
        <f t="shared" si="6"/>
        <v>Sufficient</v>
      </c>
      <c r="H150" s="1">
        <f t="shared" si="7"/>
        <v>4132626</v>
      </c>
      <c r="I150" s="1">
        <f t="shared" si="8"/>
        <v>7582.8</v>
      </c>
    </row>
    <row r="151" spans="1:9" x14ac:dyDescent="0.3">
      <c r="A151" s="1" t="s">
        <v>168</v>
      </c>
      <c r="B151" s="1" t="s">
        <v>25</v>
      </c>
      <c r="C151" s="1">
        <v>186</v>
      </c>
      <c r="D151" s="1">
        <v>40</v>
      </c>
      <c r="E151" s="1" t="s">
        <v>16</v>
      </c>
      <c r="F151" s="1">
        <v>21895</v>
      </c>
      <c r="G151" s="1" t="str">
        <f t="shared" si="6"/>
        <v>Sufficient</v>
      </c>
      <c r="H151" s="1">
        <f t="shared" si="7"/>
        <v>4072470</v>
      </c>
      <c r="I151" s="1">
        <f t="shared" si="8"/>
        <v>4379</v>
      </c>
    </row>
    <row r="152" spans="1:9" x14ac:dyDescent="0.3">
      <c r="A152" s="1" t="s">
        <v>169</v>
      </c>
      <c r="B152" s="1" t="s">
        <v>18</v>
      </c>
      <c r="C152" s="1">
        <v>97</v>
      </c>
      <c r="D152" s="1">
        <v>42</v>
      </c>
      <c r="E152" s="1" t="s">
        <v>26</v>
      </c>
      <c r="F152" s="1">
        <v>51621</v>
      </c>
      <c r="G152" s="1" t="str">
        <f t="shared" si="6"/>
        <v>Sufficient</v>
      </c>
      <c r="H152" s="1">
        <f t="shared" si="7"/>
        <v>5007237</v>
      </c>
      <c r="I152" s="1">
        <f t="shared" si="8"/>
        <v>10324.200000000001</v>
      </c>
    </row>
    <row r="153" spans="1:9" x14ac:dyDescent="0.3">
      <c r="A153" s="1" t="s">
        <v>170</v>
      </c>
      <c r="B153" s="1" t="s">
        <v>18</v>
      </c>
      <c r="C153" s="1">
        <v>118</v>
      </c>
      <c r="D153" s="1">
        <v>17</v>
      </c>
      <c r="E153" s="1" t="s">
        <v>26</v>
      </c>
      <c r="F153" s="1">
        <v>70653</v>
      </c>
      <c r="G153" s="1" t="str">
        <f t="shared" si="6"/>
        <v>Sufficient</v>
      </c>
      <c r="H153" s="1">
        <f t="shared" si="7"/>
        <v>8337054</v>
      </c>
      <c r="I153" s="1">
        <f t="shared" si="8"/>
        <v>14130.6</v>
      </c>
    </row>
    <row r="154" spans="1:9" x14ac:dyDescent="0.3">
      <c r="A154" s="1" t="s">
        <v>171</v>
      </c>
      <c r="B154" s="1" t="s">
        <v>12</v>
      </c>
      <c r="C154" s="1">
        <v>59</v>
      </c>
      <c r="D154" s="1">
        <v>23</v>
      </c>
      <c r="E154" s="1" t="s">
        <v>26</v>
      </c>
      <c r="F154" s="1">
        <v>65145</v>
      </c>
      <c r="G154" s="1" t="str">
        <f t="shared" si="6"/>
        <v>Sufficient</v>
      </c>
      <c r="H154" s="1">
        <f t="shared" si="7"/>
        <v>3843555</v>
      </c>
      <c r="I154" s="1">
        <f t="shared" si="8"/>
        <v>13029</v>
      </c>
    </row>
    <row r="155" spans="1:9" x14ac:dyDescent="0.3">
      <c r="A155" s="1" t="s">
        <v>172</v>
      </c>
      <c r="B155" s="1" t="s">
        <v>18</v>
      </c>
      <c r="C155" s="1">
        <v>158</v>
      </c>
      <c r="D155" s="1">
        <v>13</v>
      </c>
      <c r="E155" s="1" t="s">
        <v>26</v>
      </c>
      <c r="F155" s="1">
        <v>57180</v>
      </c>
      <c r="G155" s="1" t="str">
        <f t="shared" si="6"/>
        <v>Sufficient</v>
      </c>
      <c r="H155" s="1">
        <f t="shared" si="7"/>
        <v>9034440</v>
      </c>
      <c r="I155" s="1">
        <f t="shared" si="8"/>
        <v>11436</v>
      </c>
    </row>
    <row r="156" spans="1:9" x14ac:dyDescent="0.3">
      <c r="A156" s="1" t="s">
        <v>173</v>
      </c>
      <c r="B156" s="1" t="s">
        <v>18</v>
      </c>
      <c r="C156" s="1">
        <v>162</v>
      </c>
      <c r="D156" s="1">
        <v>27</v>
      </c>
      <c r="E156" s="1" t="s">
        <v>16</v>
      </c>
      <c r="F156" s="1">
        <v>7757</v>
      </c>
      <c r="G156" s="1" t="str">
        <f t="shared" si="6"/>
        <v>Sufficient</v>
      </c>
      <c r="H156" s="1">
        <f t="shared" si="7"/>
        <v>1256634</v>
      </c>
      <c r="I156" s="1">
        <f t="shared" si="8"/>
        <v>1551.4</v>
      </c>
    </row>
    <row r="157" spans="1:9" x14ac:dyDescent="0.3">
      <c r="A157" s="1" t="s">
        <v>174</v>
      </c>
      <c r="B157" s="1" t="s">
        <v>23</v>
      </c>
      <c r="C157" s="1">
        <v>38</v>
      </c>
      <c r="D157" s="1">
        <v>50</v>
      </c>
      <c r="E157" s="1" t="s">
        <v>26</v>
      </c>
      <c r="F157" s="1">
        <v>67311</v>
      </c>
      <c r="G157" s="1" t="str">
        <f t="shared" si="6"/>
        <v>Low Stock</v>
      </c>
      <c r="H157" s="1">
        <f t="shared" si="7"/>
        <v>2557818</v>
      </c>
      <c r="I157" s="1">
        <f t="shared" si="8"/>
        <v>13462.2</v>
      </c>
    </row>
    <row r="158" spans="1:9" x14ac:dyDescent="0.3">
      <c r="A158" s="1" t="s">
        <v>175</v>
      </c>
      <c r="B158" s="1" t="s">
        <v>12</v>
      </c>
      <c r="C158" s="1">
        <v>91</v>
      </c>
      <c r="D158" s="1">
        <v>22</v>
      </c>
      <c r="E158" s="1" t="s">
        <v>8</v>
      </c>
      <c r="F158" s="1">
        <v>57354</v>
      </c>
      <c r="G158" s="1" t="str">
        <f t="shared" si="6"/>
        <v>Sufficient</v>
      </c>
      <c r="H158" s="1">
        <f t="shared" si="7"/>
        <v>5219214</v>
      </c>
      <c r="I158" s="1">
        <f t="shared" si="8"/>
        <v>11470.800000000001</v>
      </c>
    </row>
    <row r="159" spans="1:9" x14ac:dyDescent="0.3">
      <c r="A159" s="1" t="s">
        <v>176</v>
      </c>
      <c r="B159" s="1" t="s">
        <v>15</v>
      </c>
      <c r="C159" s="1">
        <v>77</v>
      </c>
      <c r="D159" s="1">
        <v>29</v>
      </c>
      <c r="E159" s="1" t="s">
        <v>10</v>
      </c>
      <c r="F159" s="1">
        <v>18023</v>
      </c>
      <c r="G159" s="1" t="str">
        <f t="shared" si="6"/>
        <v>Sufficient</v>
      </c>
      <c r="H159" s="1">
        <f t="shared" si="7"/>
        <v>1387771</v>
      </c>
      <c r="I159" s="1">
        <f t="shared" si="8"/>
        <v>3604.6000000000004</v>
      </c>
    </row>
    <row r="160" spans="1:9" x14ac:dyDescent="0.3">
      <c r="A160" s="1" t="s">
        <v>177</v>
      </c>
      <c r="B160" s="1" t="s">
        <v>7</v>
      </c>
      <c r="C160" s="1">
        <v>37</v>
      </c>
      <c r="D160" s="1">
        <v>17</v>
      </c>
      <c r="E160" s="1" t="s">
        <v>13</v>
      </c>
      <c r="F160" s="1">
        <v>51079</v>
      </c>
      <c r="G160" s="1" t="str">
        <f t="shared" si="6"/>
        <v>Sufficient</v>
      </c>
      <c r="H160" s="1">
        <f t="shared" si="7"/>
        <v>1889923</v>
      </c>
      <c r="I160" s="1">
        <f t="shared" si="8"/>
        <v>10215.800000000001</v>
      </c>
    </row>
    <row r="161" spans="1:9" x14ac:dyDescent="0.3">
      <c r="A161" s="1" t="s">
        <v>178</v>
      </c>
      <c r="B161" s="1" t="s">
        <v>15</v>
      </c>
      <c r="C161" s="1">
        <v>117</v>
      </c>
      <c r="D161" s="1">
        <v>37</v>
      </c>
      <c r="E161" s="1" t="s">
        <v>10</v>
      </c>
      <c r="F161" s="1">
        <v>28237</v>
      </c>
      <c r="G161" s="1" t="str">
        <f t="shared" si="6"/>
        <v>Sufficient</v>
      </c>
      <c r="H161" s="1">
        <f t="shared" si="7"/>
        <v>3303729</v>
      </c>
      <c r="I161" s="1">
        <f t="shared" si="8"/>
        <v>5647.4000000000005</v>
      </c>
    </row>
    <row r="162" spans="1:9" x14ac:dyDescent="0.3">
      <c r="A162" s="1" t="s">
        <v>179</v>
      </c>
      <c r="B162" s="1" t="s">
        <v>12</v>
      </c>
      <c r="C162" s="1">
        <v>14</v>
      </c>
      <c r="D162" s="1">
        <v>21</v>
      </c>
      <c r="E162" s="1" t="s">
        <v>16</v>
      </c>
      <c r="F162" s="1">
        <v>60976</v>
      </c>
      <c r="G162" s="1" t="str">
        <f t="shared" si="6"/>
        <v>Low Stock</v>
      </c>
      <c r="H162" s="1">
        <f t="shared" si="7"/>
        <v>853664</v>
      </c>
      <c r="I162" s="1">
        <f t="shared" si="8"/>
        <v>12195.2</v>
      </c>
    </row>
    <row r="163" spans="1:9" x14ac:dyDescent="0.3">
      <c r="A163" s="1" t="s">
        <v>180</v>
      </c>
      <c r="B163" s="1" t="s">
        <v>18</v>
      </c>
      <c r="C163" s="1">
        <v>52</v>
      </c>
      <c r="D163" s="1">
        <v>45</v>
      </c>
      <c r="E163" s="1" t="s">
        <v>8</v>
      </c>
      <c r="F163" s="1">
        <v>16139</v>
      </c>
      <c r="G163" s="1" t="str">
        <f t="shared" si="6"/>
        <v>Sufficient</v>
      </c>
      <c r="H163" s="1">
        <f t="shared" si="7"/>
        <v>839228</v>
      </c>
      <c r="I163" s="1">
        <f t="shared" si="8"/>
        <v>3227.8</v>
      </c>
    </row>
    <row r="164" spans="1:9" x14ac:dyDescent="0.3">
      <c r="A164" s="1" t="s">
        <v>181</v>
      </c>
      <c r="B164" s="1" t="s">
        <v>29</v>
      </c>
      <c r="C164" s="1">
        <v>182</v>
      </c>
      <c r="D164" s="1">
        <v>12</v>
      </c>
      <c r="E164" s="1" t="s">
        <v>16</v>
      </c>
      <c r="F164" s="1">
        <v>38605</v>
      </c>
      <c r="G164" s="1" t="str">
        <f t="shared" si="6"/>
        <v>Sufficient</v>
      </c>
      <c r="H164" s="1">
        <f t="shared" si="7"/>
        <v>7026110</v>
      </c>
      <c r="I164" s="1">
        <f t="shared" si="8"/>
        <v>7721</v>
      </c>
    </row>
    <row r="165" spans="1:9" x14ac:dyDescent="0.3">
      <c r="A165" s="1" t="s">
        <v>182</v>
      </c>
      <c r="B165" s="1" t="s">
        <v>25</v>
      </c>
      <c r="C165" s="1">
        <v>190</v>
      </c>
      <c r="D165" s="1">
        <v>41</v>
      </c>
      <c r="E165" s="1" t="s">
        <v>26</v>
      </c>
      <c r="F165" s="1">
        <v>71767</v>
      </c>
      <c r="G165" s="1" t="str">
        <f t="shared" si="6"/>
        <v>Sufficient</v>
      </c>
      <c r="H165" s="1">
        <f t="shared" si="7"/>
        <v>13635730</v>
      </c>
      <c r="I165" s="1">
        <f t="shared" si="8"/>
        <v>14353.400000000001</v>
      </c>
    </row>
    <row r="166" spans="1:9" x14ac:dyDescent="0.3">
      <c r="A166" s="1" t="s">
        <v>183</v>
      </c>
      <c r="B166" s="1" t="s">
        <v>20</v>
      </c>
      <c r="C166" s="1">
        <v>189</v>
      </c>
      <c r="D166" s="1">
        <v>34</v>
      </c>
      <c r="E166" s="1" t="s">
        <v>13</v>
      </c>
      <c r="F166" s="1">
        <v>70149</v>
      </c>
      <c r="G166" s="1" t="str">
        <f t="shared" si="6"/>
        <v>Sufficient</v>
      </c>
      <c r="H166" s="1">
        <f t="shared" si="7"/>
        <v>13258161</v>
      </c>
      <c r="I166" s="1">
        <f t="shared" si="8"/>
        <v>14029.800000000001</v>
      </c>
    </row>
    <row r="167" spans="1:9" x14ac:dyDescent="0.3">
      <c r="A167" s="1" t="s">
        <v>184</v>
      </c>
      <c r="B167" s="1" t="s">
        <v>12</v>
      </c>
      <c r="C167" s="1">
        <v>192</v>
      </c>
      <c r="D167" s="1">
        <v>10</v>
      </c>
      <c r="E167" s="1" t="s">
        <v>10</v>
      </c>
      <c r="F167" s="1">
        <v>3907</v>
      </c>
      <c r="G167" s="1" t="str">
        <f t="shared" si="6"/>
        <v>Sufficient</v>
      </c>
      <c r="H167" s="1">
        <f t="shared" si="7"/>
        <v>750144</v>
      </c>
      <c r="I167" s="1">
        <f t="shared" si="8"/>
        <v>781.40000000000009</v>
      </c>
    </row>
    <row r="168" spans="1:9" x14ac:dyDescent="0.3">
      <c r="A168" s="1" t="s">
        <v>185</v>
      </c>
      <c r="B168" s="1" t="s">
        <v>29</v>
      </c>
      <c r="C168" s="1">
        <v>47</v>
      </c>
      <c r="D168" s="1">
        <v>50</v>
      </c>
      <c r="E168" s="1" t="s">
        <v>16</v>
      </c>
      <c r="F168" s="1">
        <v>61373</v>
      </c>
      <c r="G168" s="1" t="str">
        <f t="shared" si="6"/>
        <v>Low Stock</v>
      </c>
      <c r="H168" s="1">
        <f t="shared" si="7"/>
        <v>2884531</v>
      </c>
      <c r="I168" s="1">
        <f t="shared" si="8"/>
        <v>12274.6</v>
      </c>
    </row>
    <row r="169" spans="1:9" x14ac:dyDescent="0.3">
      <c r="A169" s="1" t="s">
        <v>186</v>
      </c>
      <c r="B169" s="1" t="s">
        <v>20</v>
      </c>
      <c r="C169" s="1">
        <v>24</v>
      </c>
      <c r="D169" s="1">
        <v>21</v>
      </c>
      <c r="E169" s="1" t="s">
        <v>13</v>
      </c>
      <c r="F169" s="1">
        <v>53356</v>
      </c>
      <c r="G169" s="1" t="str">
        <f t="shared" si="6"/>
        <v>Sufficient</v>
      </c>
      <c r="H169" s="1">
        <f t="shared" si="7"/>
        <v>1280544</v>
      </c>
      <c r="I169" s="1">
        <f t="shared" si="8"/>
        <v>10671.2</v>
      </c>
    </row>
    <row r="170" spans="1:9" x14ac:dyDescent="0.3">
      <c r="A170" s="1" t="s">
        <v>187</v>
      </c>
      <c r="B170" s="1" t="s">
        <v>12</v>
      </c>
      <c r="C170" s="1">
        <v>167</v>
      </c>
      <c r="D170" s="1">
        <v>45</v>
      </c>
      <c r="E170" s="1" t="s">
        <v>16</v>
      </c>
      <c r="F170" s="1">
        <v>17911</v>
      </c>
      <c r="G170" s="1" t="str">
        <f t="shared" si="6"/>
        <v>Sufficient</v>
      </c>
      <c r="H170" s="1">
        <f t="shared" si="7"/>
        <v>2991137</v>
      </c>
      <c r="I170" s="1">
        <f t="shared" si="8"/>
        <v>3582.2000000000003</v>
      </c>
    </row>
    <row r="171" spans="1:9" x14ac:dyDescent="0.3">
      <c r="A171" s="1" t="s">
        <v>188</v>
      </c>
      <c r="B171" s="1" t="s">
        <v>15</v>
      </c>
      <c r="C171" s="1">
        <v>78</v>
      </c>
      <c r="D171" s="1">
        <v>24</v>
      </c>
      <c r="E171" s="1" t="s">
        <v>8</v>
      </c>
      <c r="F171" s="1">
        <v>15851</v>
      </c>
      <c r="G171" s="1" t="str">
        <f t="shared" si="6"/>
        <v>Sufficient</v>
      </c>
      <c r="H171" s="1">
        <f t="shared" si="7"/>
        <v>1236378</v>
      </c>
      <c r="I171" s="1">
        <f t="shared" si="8"/>
        <v>3170.2000000000003</v>
      </c>
    </row>
    <row r="172" spans="1:9" x14ac:dyDescent="0.3">
      <c r="A172" s="1" t="s">
        <v>189</v>
      </c>
      <c r="B172" s="1" t="s">
        <v>20</v>
      </c>
      <c r="C172" s="1">
        <v>20</v>
      </c>
      <c r="D172" s="1">
        <v>34</v>
      </c>
      <c r="E172" s="1" t="s">
        <v>8</v>
      </c>
      <c r="F172" s="1">
        <v>21004</v>
      </c>
      <c r="G172" s="1" t="str">
        <f t="shared" si="6"/>
        <v>Low Stock</v>
      </c>
      <c r="H172" s="1">
        <f t="shared" si="7"/>
        <v>420080</v>
      </c>
      <c r="I172" s="1">
        <f t="shared" si="8"/>
        <v>4200.8</v>
      </c>
    </row>
    <row r="173" spans="1:9" x14ac:dyDescent="0.3">
      <c r="A173" s="1" t="s">
        <v>190</v>
      </c>
      <c r="B173" s="1" t="s">
        <v>7</v>
      </c>
      <c r="C173" s="1">
        <v>169</v>
      </c>
      <c r="D173" s="1">
        <v>44</v>
      </c>
      <c r="E173" s="1" t="s">
        <v>13</v>
      </c>
      <c r="F173" s="1">
        <v>67856</v>
      </c>
      <c r="G173" s="1" t="str">
        <f t="shared" si="6"/>
        <v>Sufficient</v>
      </c>
      <c r="H173" s="1">
        <f t="shared" si="7"/>
        <v>11467664</v>
      </c>
      <c r="I173" s="1">
        <f t="shared" si="8"/>
        <v>13571.2</v>
      </c>
    </row>
    <row r="174" spans="1:9" x14ac:dyDescent="0.3">
      <c r="A174" s="1" t="s">
        <v>191</v>
      </c>
      <c r="B174" s="1" t="s">
        <v>20</v>
      </c>
      <c r="C174" s="1">
        <v>148</v>
      </c>
      <c r="D174" s="1">
        <v>10</v>
      </c>
      <c r="E174" s="1" t="s">
        <v>10</v>
      </c>
      <c r="F174" s="1">
        <v>4624</v>
      </c>
      <c r="G174" s="1" t="str">
        <f t="shared" si="6"/>
        <v>Sufficient</v>
      </c>
      <c r="H174" s="1">
        <f t="shared" si="7"/>
        <v>684352</v>
      </c>
      <c r="I174" s="1">
        <f t="shared" si="8"/>
        <v>924.80000000000007</v>
      </c>
    </row>
    <row r="175" spans="1:9" x14ac:dyDescent="0.3">
      <c r="A175" s="1" t="s">
        <v>192</v>
      </c>
      <c r="B175" s="1" t="s">
        <v>15</v>
      </c>
      <c r="C175" s="1">
        <v>102</v>
      </c>
      <c r="D175" s="1">
        <v>22</v>
      </c>
      <c r="E175" s="1" t="s">
        <v>16</v>
      </c>
      <c r="F175" s="1">
        <v>3877</v>
      </c>
      <c r="G175" s="1" t="str">
        <f t="shared" si="6"/>
        <v>Sufficient</v>
      </c>
      <c r="H175" s="1">
        <f t="shared" si="7"/>
        <v>395454</v>
      </c>
      <c r="I175" s="1">
        <f t="shared" si="8"/>
        <v>775.40000000000009</v>
      </c>
    </row>
    <row r="176" spans="1:9" x14ac:dyDescent="0.3">
      <c r="A176" s="1" t="s">
        <v>193</v>
      </c>
      <c r="B176" s="1" t="s">
        <v>29</v>
      </c>
      <c r="C176" s="1">
        <v>17</v>
      </c>
      <c r="D176" s="1">
        <v>28</v>
      </c>
      <c r="E176" s="1" t="s">
        <v>13</v>
      </c>
      <c r="F176" s="1">
        <v>53572</v>
      </c>
      <c r="G176" s="1" t="str">
        <f t="shared" si="6"/>
        <v>Low Stock</v>
      </c>
      <c r="H176" s="1">
        <f t="shared" si="7"/>
        <v>910724</v>
      </c>
      <c r="I176" s="1">
        <f t="shared" si="8"/>
        <v>10714.400000000001</v>
      </c>
    </row>
    <row r="177" spans="1:9" x14ac:dyDescent="0.3">
      <c r="A177" s="1" t="s">
        <v>194</v>
      </c>
      <c r="B177" s="1" t="s">
        <v>7</v>
      </c>
      <c r="C177" s="1">
        <v>8</v>
      </c>
      <c r="D177" s="1">
        <v>48</v>
      </c>
      <c r="E177" s="1" t="s">
        <v>26</v>
      </c>
      <c r="F177" s="1">
        <v>72539</v>
      </c>
      <c r="G177" s="1" t="str">
        <f t="shared" si="6"/>
        <v>Low Stock</v>
      </c>
      <c r="H177" s="1">
        <f t="shared" si="7"/>
        <v>580312</v>
      </c>
      <c r="I177" s="1">
        <f t="shared" si="8"/>
        <v>14507.800000000001</v>
      </c>
    </row>
    <row r="178" spans="1:9" x14ac:dyDescent="0.3">
      <c r="A178" s="1" t="s">
        <v>195</v>
      </c>
      <c r="B178" s="1" t="s">
        <v>7</v>
      </c>
      <c r="C178" s="1">
        <v>164</v>
      </c>
      <c r="D178" s="1">
        <v>22</v>
      </c>
      <c r="E178" s="1" t="s">
        <v>16</v>
      </c>
      <c r="F178" s="1">
        <v>36120</v>
      </c>
      <c r="G178" s="1" t="str">
        <f t="shared" si="6"/>
        <v>Sufficient</v>
      </c>
      <c r="H178" s="1">
        <f t="shared" si="7"/>
        <v>5923680</v>
      </c>
      <c r="I178" s="1">
        <f t="shared" si="8"/>
        <v>7224</v>
      </c>
    </row>
    <row r="179" spans="1:9" x14ac:dyDescent="0.3">
      <c r="A179" s="1" t="s">
        <v>196</v>
      </c>
      <c r="B179" s="1" t="s">
        <v>25</v>
      </c>
      <c r="C179" s="1">
        <v>135</v>
      </c>
      <c r="D179" s="1">
        <v>21</v>
      </c>
      <c r="E179" s="1" t="s">
        <v>26</v>
      </c>
      <c r="F179" s="1">
        <v>35014</v>
      </c>
      <c r="G179" s="1" t="str">
        <f t="shared" si="6"/>
        <v>Sufficient</v>
      </c>
      <c r="H179" s="1">
        <f t="shared" si="7"/>
        <v>4726890</v>
      </c>
      <c r="I179" s="1">
        <f t="shared" si="8"/>
        <v>7002.8</v>
      </c>
    </row>
    <row r="180" spans="1:9" x14ac:dyDescent="0.3">
      <c r="A180" s="1" t="s">
        <v>197</v>
      </c>
      <c r="B180" s="1" t="s">
        <v>12</v>
      </c>
      <c r="C180" s="1">
        <v>60</v>
      </c>
      <c r="D180" s="1">
        <v>37</v>
      </c>
      <c r="E180" s="1" t="s">
        <v>10</v>
      </c>
      <c r="F180" s="1">
        <v>40062</v>
      </c>
      <c r="G180" s="1" t="str">
        <f t="shared" si="6"/>
        <v>Sufficient</v>
      </c>
      <c r="H180" s="1">
        <f t="shared" si="7"/>
        <v>2403720</v>
      </c>
      <c r="I180" s="1">
        <f t="shared" si="8"/>
        <v>8012.4000000000005</v>
      </c>
    </row>
    <row r="181" spans="1:9" x14ac:dyDescent="0.3">
      <c r="A181" s="1" t="s">
        <v>198</v>
      </c>
      <c r="B181" s="1" t="s">
        <v>23</v>
      </c>
      <c r="C181" s="1">
        <v>91</v>
      </c>
      <c r="D181" s="1">
        <v>12</v>
      </c>
      <c r="E181" s="1" t="s">
        <v>16</v>
      </c>
      <c r="F181" s="1">
        <v>50471</v>
      </c>
      <c r="G181" s="1" t="str">
        <f t="shared" si="6"/>
        <v>Sufficient</v>
      </c>
      <c r="H181" s="1">
        <f t="shared" si="7"/>
        <v>4592861</v>
      </c>
      <c r="I181" s="1">
        <f t="shared" si="8"/>
        <v>10094.200000000001</v>
      </c>
    </row>
    <row r="182" spans="1:9" x14ac:dyDescent="0.3">
      <c r="A182" s="1" t="s">
        <v>199</v>
      </c>
      <c r="B182" s="1" t="s">
        <v>25</v>
      </c>
      <c r="C182" s="1">
        <v>185</v>
      </c>
      <c r="D182" s="1">
        <v>20</v>
      </c>
      <c r="E182" s="1" t="s">
        <v>8</v>
      </c>
      <c r="F182" s="1">
        <v>29133</v>
      </c>
      <c r="G182" s="1" t="str">
        <f t="shared" si="6"/>
        <v>Sufficient</v>
      </c>
      <c r="H182" s="1">
        <f t="shared" si="7"/>
        <v>5389605</v>
      </c>
      <c r="I182" s="1">
        <f t="shared" si="8"/>
        <v>5826.6</v>
      </c>
    </row>
    <row r="183" spans="1:9" x14ac:dyDescent="0.3">
      <c r="A183" s="1" t="s">
        <v>200</v>
      </c>
      <c r="B183" s="1" t="s">
        <v>18</v>
      </c>
      <c r="C183" s="1">
        <v>171</v>
      </c>
      <c r="D183" s="1">
        <v>18</v>
      </c>
      <c r="E183" s="1" t="s">
        <v>10</v>
      </c>
      <c r="F183" s="1">
        <v>41531</v>
      </c>
      <c r="G183" s="1" t="str">
        <f t="shared" si="6"/>
        <v>Sufficient</v>
      </c>
      <c r="H183" s="1">
        <f t="shared" si="7"/>
        <v>7101801</v>
      </c>
      <c r="I183" s="1">
        <f t="shared" si="8"/>
        <v>8306.2000000000007</v>
      </c>
    </row>
    <row r="184" spans="1:9" x14ac:dyDescent="0.3">
      <c r="A184" s="1" t="s">
        <v>201</v>
      </c>
      <c r="B184" s="1" t="s">
        <v>20</v>
      </c>
      <c r="C184" s="1">
        <v>97</v>
      </c>
      <c r="D184" s="1">
        <v>13</v>
      </c>
      <c r="E184" s="1" t="s">
        <v>8</v>
      </c>
      <c r="F184" s="1">
        <v>35125</v>
      </c>
      <c r="G184" s="1" t="str">
        <f t="shared" si="6"/>
        <v>Sufficient</v>
      </c>
      <c r="H184" s="1">
        <f t="shared" si="7"/>
        <v>3407125</v>
      </c>
      <c r="I184" s="1">
        <f t="shared" si="8"/>
        <v>7025</v>
      </c>
    </row>
    <row r="185" spans="1:9" x14ac:dyDescent="0.3">
      <c r="A185" s="1" t="s">
        <v>202</v>
      </c>
      <c r="B185" s="1" t="s">
        <v>18</v>
      </c>
      <c r="C185" s="1">
        <v>67</v>
      </c>
      <c r="D185" s="1">
        <v>11</v>
      </c>
      <c r="E185" s="1" t="s">
        <v>26</v>
      </c>
      <c r="F185" s="1">
        <v>57601</v>
      </c>
      <c r="G185" s="1" t="str">
        <f t="shared" si="6"/>
        <v>Sufficient</v>
      </c>
      <c r="H185" s="1">
        <f t="shared" si="7"/>
        <v>3859267</v>
      </c>
      <c r="I185" s="1">
        <f t="shared" si="8"/>
        <v>11520.2</v>
      </c>
    </row>
    <row r="186" spans="1:9" x14ac:dyDescent="0.3">
      <c r="A186" s="1" t="s">
        <v>203</v>
      </c>
      <c r="B186" s="1" t="s">
        <v>15</v>
      </c>
      <c r="C186" s="1">
        <v>80</v>
      </c>
      <c r="D186" s="1">
        <v>24</v>
      </c>
      <c r="E186" s="1" t="s">
        <v>26</v>
      </c>
      <c r="F186" s="1">
        <v>10258</v>
      </c>
      <c r="G186" s="1" t="str">
        <f t="shared" si="6"/>
        <v>Sufficient</v>
      </c>
      <c r="H186" s="1">
        <f t="shared" si="7"/>
        <v>820640</v>
      </c>
      <c r="I186" s="1">
        <f t="shared" si="8"/>
        <v>2051.6</v>
      </c>
    </row>
    <row r="187" spans="1:9" x14ac:dyDescent="0.3">
      <c r="A187" s="1" t="s">
        <v>204</v>
      </c>
      <c r="B187" s="1" t="s">
        <v>12</v>
      </c>
      <c r="C187" s="1">
        <v>26</v>
      </c>
      <c r="D187" s="1">
        <v>47</v>
      </c>
      <c r="E187" s="1" t="s">
        <v>16</v>
      </c>
      <c r="F187" s="1">
        <v>32768</v>
      </c>
      <c r="G187" s="1" t="str">
        <f t="shared" si="6"/>
        <v>Low Stock</v>
      </c>
      <c r="H187" s="1">
        <f t="shared" si="7"/>
        <v>851968</v>
      </c>
      <c r="I187" s="1">
        <f t="shared" si="8"/>
        <v>6553.6</v>
      </c>
    </row>
    <row r="188" spans="1:9" x14ac:dyDescent="0.3">
      <c r="A188" s="1" t="s">
        <v>205</v>
      </c>
      <c r="B188" s="1" t="s">
        <v>18</v>
      </c>
      <c r="C188" s="1">
        <v>156</v>
      </c>
      <c r="D188" s="1">
        <v>42</v>
      </c>
      <c r="E188" s="1" t="s">
        <v>10</v>
      </c>
      <c r="F188" s="1">
        <v>18691</v>
      </c>
      <c r="G188" s="1" t="str">
        <f t="shared" si="6"/>
        <v>Sufficient</v>
      </c>
      <c r="H188" s="1">
        <f t="shared" si="7"/>
        <v>2915796</v>
      </c>
      <c r="I188" s="1">
        <f t="shared" si="8"/>
        <v>3738.2000000000003</v>
      </c>
    </row>
    <row r="189" spans="1:9" x14ac:dyDescent="0.3">
      <c r="A189" s="1" t="s">
        <v>206</v>
      </c>
      <c r="B189" s="1" t="s">
        <v>12</v>
      </c>
      <c r="C189" s="1">
        <v>44</v>
      </c>
      <c r="D189" s="1">
        <v>18</v>
      </c>
      <c r="E189" s="1" t="s">
        <v>10</v>
      </c>
      <c r="F189" s="1">
        <v>42263</v>
      </c>
      <c r="G189" s="1" t="str">
        <f t="shared" si="6"/>
        <v>Sufficient</v>
      </c>
      <c r="H189" s="1">
        <f t="shared" si="7"/>
        <v>1859572</v>
      </c>
      <c r="I189" s="1">
        <f t="shared" si="8"/>
        <v>8452.6</v>
      </c>
    </row>
    <row r="190" spans="1:9" x14ac:dyDescent="0.3">
      <c r="A190" s="1" t="s">
        <v>207</v>
      </c>
      <c r="B190" s="1" t="s">
        <v>7</v>
      </c>
      <c r="C190" s="1">
        <v>178</v>
      </c>
      <c r="D190" s="1">
        <v>50</v>
      </c>
      <c r="E190" s="1" t="s">
        <v>10</v>
      </c>
      <c r="F190" s="1">
        <v>43778</v>
      </c>
      <c r="G190" s="1" t="str">
        <f t="shared" si="6"/>
        <v>Sufficient</v>
      </c>
      <c r="H190" s="1">
        <f t="shared" si="7"/>
        <v>7792484</v>
      </c>
      <c r="I190" s="1">
        <f t="shared" si="8"/>
        <v>8755.6</v>
      </c>
    </row>
    <row r="191" spans="1:9" x14ac:dyDescent="0.3">
      <c r="A191" s="1" t="s">
        <v>208</v>
      </c>
      <c r="B191" s="1" t="s">
        <v>12</v>
      </c>
      <c r="C191" s="1">
        <v>165</v>
      </c>
      <c r="D191" s="1">
        <v>46</v>
      </c>
      <c r="E191" s="1" t="s">
        <v>16</v>
      </c>
      <c r="F191" s="1">
        <v>54767</v>
      </c>
      <c r="G191" s="1" t="str">
        <f t="shared" si="6"/>
        <v>Sufficient</v>
      </c>
      <c r="H191" s="1">
        <f t="shared" si="7"/>
        <v>9036555</v>
      </c>
      <c r="I191" s="1">
        <f t="shared" si="8"/>
        <v>10953.400000000001</v>
      </c>
    </row>
    <row r="192" spans="1:9" x14ac:dyDescent="0.3">
      <c r="A192" s="1" t="s">
        <v>209</v>
      </c>
      <c r="B192" s="1" t="s">
        <v>29</v>
      </c>
      <c r="C192" s="1">
        <v>102</v>
      </c>
      <c r="D192" s="1">
        <v>15</v>
      </c>
      <c r="E192" s="1" t="s">
        <v>26</v>
      </c>
      <c r="F192" s="1">
        <v>18635</v>
      </c>
      <c r="G192" s="1" t="str">
        <f t="shared" si="6"/>
        <v>Sufficient</v>
      </c>
      <c r="H192" s="1">
        <f t="shared" si="7"/>
        <v>1900770</v>
      </c>
      <c r="I192" s="1">
        <f t="shared" si="8"/>
        <v>3727</v>
      </c>
    </row>
    <row r="193" spans="1:9" x14ac:dyDescent="0.3">
      <c r="A193" s="1" t="s">
        <v>210</v>
      </c>
      <c r="B193" s="1" t="s">
        <v>12</v>
      </c>
      <c r="C193" s="1">
        <v>75</v>
      </c>
      <c r="D193" s="1">
        <v>30</v>
      </c>
      <c r="E193" s="1" t="s">
        <v>26</v>
      </c>
      <c r="F193" s="1">
        <v>59223</v>
      </c>
      <c r="G193" s="1" t="str">
        <f t="shared" si="6"/>
        <v>Sufficient</v>
      </c>
      <c r="H193" s="1">
        <f t="shared" si="7"/>
        <v>4441725</v>
      </c>
      <c r="I193" s="1">
        <f t="shared" si="8"/>
        <v>11844.6</v>
      </c>
    </row>
    <row r="194" spans="1:9" x14ac:dyDescent="0.3">
      <c r="A194" s="1" t="s">
        <v>211</v>
      </c>
      <c r="B194" s="1" t="s">
        <v>23</v>
      </c>
      <c r="C194" s="1">
        <v>174</v>
      </c>
      <c r="D194" s="1">
        <v>45</v>
      </c>
      <c r="E194" s="1" t="s">
        <v>26</v>
      </c>
      <c r="F194" s="1">
        <v>22705</v>
      </c>
      <c r="G194" s="1" t="str">
        <f t="shared" si="6"/>
        <v>Sufficient</v>
      </c>
      <c r="H194" s="1">
        <f t="shared" si="7"/>
        <v>3950670</v>
      </c>
      <c r="I194" s="1">
        <f t="shared" si="8"/>
        <v>4541</v>
      </c>
    </row>
    <row r="195" spans="1:9" x14ac:dyDescent="0.3">
      <c r="A195" s="1" t="s">
        <v>212</v>
      </c>
      <c r="B195" s="1" t="s">
        <v>18</v>
      </c>
      <c r="C195" s="1">
        <v>6</v>
      </c>
      <c r="D195" s="1">
        <v>38</v>
      </c>
      <c r="E195" s="1" t="s">
        <v>26</v>
      </c>
      <c r="F195" s="1">
        <v>40094</v>
      </c>
      <c r="G195" s="1" t="str">
        <f t="shared" ref="G195:G258" si="9">IF(C195=0,"Pending",IF(C195&lt;=D195,"Low Stock", "Sufficient"))</f>
        <v>Low Stock</v>
      </c>
      <c r="H195" s="1">
        <f t="shared" ref="H195:H258" si="10">C195*F195</f>
        <v>240564</v>
      </c>
      <c r="I195" s="1">
        <f t="shared" ref="I195:I258" si="11">F195*0.2</f>
        <v>8018.8</v>
      </c>
    </row>
    <row r="196" spans="1:9" x14ac:dyDescent="0.3">
      <c r="A196" s="1" t="s">
        <v>213</v>
      </c>
      <c r="B196" s="1" t="s">
        <v>15</v>
      </c>
      <c r="C196" s="1">
        <v>120</v>
      </c>
      <c r="D196" s="1">
        <v>50</v>
      </c>
      <c r="E196" s="1" t="s">
        <v>8</v>
      </c>
      <c r="F196" s="1">
        <v>64048</v>
      </c>
      <c r="G196" s="1" t="str">
        <f t="shared" si="9"/>
        <v>Sufficient</v>
      </c>
      <c r="H196" s="1">
        <f t="shared" si="10"/>
        <v>7685760</v>
      </c>
      <c r="I196" s="1">
        <f t="shared" si="11"/>
        <v>12809.6</v>
      </c>
    </row>
    <row r="197" spans="1:9" x14ac:dyDescent="0.3">
      <c r="A197" s="1" t="s">
        <v>214</v>
      </c>
      <c r="B197" s="1" t="s">
        <v>12</v>
      </c>
      <c r="C197" s="1">
        <v>175</v>
      </c>
      <c r="D197" s="1">
        <v>50</v>
      </c>
      <c r="E197" s="1" t="s">
        <v>10</v>
      </c>
      <c r="F197" s="1">
        <v>22924</v>
      </c>
      <c r="G197" s="1" t="str">
        <f t="shared" si="9"/>
        <v>Sufficient</v>
      </c>
      <c r="H197" s="1">
        <f t="shared" si="10"/>
        <v>4011700</v>
      </c>
      <c r="I197" s="1">
        <f t="shared" si="11"/>
        <v>4584.8</v>
      </c>
    </row>
    <row r="198" spans="1:9" x14ac:dyDescent="0.3">
      <c r="A198" s="1" t="s">
        <v>215</v>
      </c>
      <c r="B198" s="1" t="s">
        <v>7</v>
      </c>
      <c r="C198" s="1">
        <v>37</v>
      </c>
      <c r="D198" s="1">
        <v>19</v>
      </c>
      <c r="E198" s="1" t="s">
        <v>13</v>
      </c>
      <c r="F198" s="1">
        <v>57495</v>
      </c>
      <c r="G198" s="1" t="str">
        <f t="shared" si="9"/>
        <v>Sufficient</v>
      </c>
      <c r="H198" s="1">
        <f t="shared" si="10"/>
        <v>2127315</v>
      </c>
      <c r="I198" s="1">
        <f t="shared" si="11"/>
        <v>11499</v>
      </c>
    </row>
    <row r="199" spans="1:9" x14ac:dyDescent="0.3">
      <c r="A199" s="1" t="s">
        <v>216</v>
      </c>
      <c r="B199" s="1" t="s">
        <v>25</v>
      </c>
      <c r="C199" s="1">
        <v>167</v>
      </c>
      <c r="D199" s="1">
        <v>16</v>
      </c>
      <c r="E199" s="1" t="s">
        <v>8</v>
      </c>
      <c r="F199" s="1">
        <v>10633</v>
      </c>
      <c r="G199" s="1" t="str">
        <f t="shared" si="9"/>
        <v>Sufficient</v>
      </c>
      <c r="H199" s="1">
        <f t="shared" si="10"/>
        <v>1775711</v>
      </c>
      <c r="I199" s="1">
        <f t="shared" si="11"/>
        <v>2126.6</v>
      </c>
    </row>
    <row r="200" spans="1:9" x14ac:dyDescent="0.3">
      <c r="A200" s="1" t="s">
        <v>217</v>
      </c>
      <c r="B200" s="1" t="s">
        <v>15</v>
      </c>
      <c r="C200" s="1">
        <v>121</v>
      </c>
      <c r="D200" s="1">
        <v>14</v>
      </c>
      <c r="E200" s="1" t="s">
        <v>16</v>
      </c>
      <c r="F200" s="1">
        <v>14585</v>
      </c>
      <c r="G200" s="1" t="str">
        <f t="shared" si="9"/>
        <v>Sufficient</v>
      </c>
      <c r="H200" s="1">
        <f t="shared" si="10"/>
        <v>1764785</v>
      </c>
      <c r="I200" s="1">
        <f t="shared" si="11"/>
        <v>2917</v>
      </c>
    </row>
    <row r="201" spans="1:9" x14ac:dyDescent="0.3">
      <c r="A201" s="1" t="s">
        <v>218</v>
      </c>
      <c r="B201" s="1" t="s">
        <v>7</v>
      </c>
      <c r="C201" s="1">
        <v>73</v>
      </c>
      <c r="D201" s="1">
        <v>24</v>
      </c>
      <c r="E201" s="1" t="s">
        <v>13</v>
      </c>
      <c r="F201" s="1">
        <v>66876</v>
      </c>
      <c r="G201" s="1" t="str">
        <f t="shared" si="9"/>
        <v>Sufficient</v>
      </c>
      <c r="H201" s="1">
        <f t="shared" si="10"/>
        <v>4881948</v>
      </c>
      <c r="I201" s="1">
        <f t="shared" si="11"/>
        <v>13375.2</v>
      </c>
    </row>
    <row r="202" spans="1:9" x14ac:dyDescent="0.3">
      <c r="A202" s="1" t="s">
        <v>219</v>
      </c>
      <c r="B202" s="1" t="s">
        <v>23</v>
      </c>
      <c r="C202" s="1">
        <v>80</v>
      </c>
      <c r="D202" s="1">
        <v>25</v>
      </c>
      <c r="E202" s="1" t="s">
        <v>13</v>
      </c>
      <c r="F202" s="1">
        <v>18723</v>
      </c>
      <c r="G202" s="1" t="str">
        <f t="shared" si="9"/>
        <v>Sufficient</v>
      </c>
      <c r="H202" s="1">
        <f t="shared" si="10"/>
        <v>1497840</v>
      </c>
      <c r="I202" s="1">
        <f t="shared" si="11"/>
        <v>3744.6000000000004</v>
      </c>
    </row>
    <row r="203" spans="1:9" x14ac:dyDescent="0.3">
      <c r="A203" s="1" t="s">
        <v>220</v>
      </c>
      <c r="B203" s="1" t="s">
        <v>12</v>
      </c>
      <c r="C203" s="1">
        <v>46</v>
      </c>
      <c r="D203" s="1">
        <v>12</v>
      </c>
      <c r="E203" s="1" t="s">
        <v>8</v>
      </c>
      <c r="F203" s="1">
        <v>47961</v>
      </c>
      <c r="G203" s="1" t="str">
        <f t="shared" si="9"/>
        <v>Sufficient</v>
      </c>
      <c r="H203" s="1">
        <f t="shared" si="10"/>
        <v>2206206</v>
      </c>
      <c r="I203" s="1">
        <f t="shared" si="11"/>
        <v>9592.2000000000007</v>
      </c>
    </row>
    <row r="204" spans="1:9" x14ac:dyDescent="0.3">
      <c r="A204" s="1" t="s">
        <v>221</v>
      </c>
      <c r="B204" s="1" t="s">
        <v>25</v>
      </c>
      <c r="C204" s="1">
        <v>18</v>
      </c>
      <c r="D204" s="1">
        <v>50</v>
      </c>
      <c r="E204" s="1" t="s">
        <v>26</v>
      </c>
      <c r="F204" s="1">
        <v>27913</v>
      </c>
      <c r="G204" s="1" t="str">
        <f t="shared" si="9"/>
        <v>Low Stock</v>
      </c>
      <c r="H204" s="1">
        <f t="shared" si="10"/>
        <v>502434</v>
      </c>
      <c r="I204" s="1">
        <f t="shared" si="11"/>
        <v>5582.6</v>
      </c>
    </row>
    <row r="205" spans="1:9" x14ac:dyDescent="0.3">
      <c r="A205" s="1" t="s">
        <v>222</v>
      </c>
      <c r="B205" s="1" t="s">
        <v>20</v>
      </c>
      <c r="C205" s="1">
        <v>197</v>
      </c>
      <c r="D205" s="1">
        <v>28</v>
      </c>
      <c r="E205" s="1" t="s">
        <v>8</v>
      </c>
      <c r="F205" s="1">
        <v>35185</v>
      </c>
      <c r="G205" s="1" t="str">
        <f t="shared" si="9"/>
        <v>Sufficient</v>
      </c>
      <c r="H205" s="1">
        <f t="shared" si="10"/>
        <v>6931445</v>
      </c>
      <c r="I205" s="1">
        <f t="shared" si="11"/>
        <v>7037</v>
      </c>
    </row>
    <row r="206" spans="1:9" x14ac:dyDescent="0.3">
      <c r="A206" s="1" t="s">
        <v>223</v>
      </c>
      <c r="B206" s="1" t="s">
        <v>25</v>
      </c>
      <c r="C206" s="1">
        <v>104</v>
      </c>
      <c r="D206" s="1">
        <v>47</v>
      </c>
      <c r="E206" s="1" t="s">
        <v>13</v>
      </c>
      <c r="F206" s="1">
        <v>78469</v>
      </c>
      <c r="G206" s="1" t="str">
        <f t="shared" si="9"/>
        <v>Sufficient</v>
      </c>
      <c r="H206" s="1">
        <f t="shared" si="10"/>
        <v>8160776</v>
      </c>
      <c r="I206" s="1">
        <f t="shared" si="11"/>
        <v>15693.800000000001</v>
      </c>
    </row>
    <row r="207" spans="1:9" x14ac:dyDescent="0.3">
      <c r="A207" s="1" t="s">
        <v>224</v>
      </c>
      <c r="B207" s="1" t="s">
        <v>7</v>
      </c>
      <c r="C207" s="1">
        <v>6</v>
      </c>
      <c r="D207" s="1">
        <v>49</v>
      </c>
      <c r="E207" s="1" t="s">
        <v>10</v>
      </c>
      <c r="F207" s="1">
        <v>4973</v>
      </c>
      <c r="G207" s="1" t="str">
        <f t="shared" si="9"/>
        <v>Low Stock</v>
      </c>
      <c r="H207" s="1">
        <f t="shared" si="10"/>
        <v>29838</v>
      </c>
      <c r="I207" s="1">
        <f t="shared" si="11"/>
        <v>994.6</v>
      </c>
    </row>
    <row r="208" spans="1:9" x14ac:dyDescent="0.3">
      <c r="A208" s="1" t="s">
        <v>225</v>
      </c>
      <c r="B208" s="1" t="s">
        <v>12</v>
      </c>
      <c r="C208" s="1">
        <v>86</v>
      </c>
      <c r="D208" s="1">
        <v>45</v>
      </c>
      <c r="E208" s="1" t="s">
        <v>26</v>
      </c>
      <c r="F208" s="1">
        <v>30282</v>
      </c>
      <c r="G208" s="1" t="str">
        <f t="shared" si="9"/>
        <v>Sufficient</v>
      </c>
      <c r="H208" s="1">
        <f t="shared" si="10"/>
        <v>2604252</v>
      </c>
      <c r="I208" s="1">
        <f t="shared" si="11"/>
        <v>6056.4000000000005</v>
      </c>
    </row>
    <row r="209" spans="1:9" x14ac:dyDescent="0.3">
      <c r="A209" s="1" t="s">
        <v>226</v>
      </c>
      <c r="B209" s="1" t="s">
        <v>25</v>
      </c>
      <c r="C209" s="1">
        <v>93</v>
      </c>
      <c r="D209" s="1">
        <v>50</v>
      </c>
      <c r="E209" s="1" t="s">
        <v>8</v>
      </c>
      <c r="F209" s="1">
        <v>29935</v>
      </c>
      <c r="G209" s="1" t="str">
        <f t="shared" si="9"/>
        <v>Sufficient</v>
      </c>
      <c r="H209" s="1">
        <f t="shared" si="10"/>
        <v>2783955</v>
      </c>
      <c r="I209" s="1">
        <f t="shared" si="11"/>
        <v>5987</v>
      </c>
    </row>
    <row r="210" spans="1:9" x14ac:dyDescent="0.3">
      <c r="A210" s="1" t="s">
        <v>227</v>
      </c>
      <c r="B210" s="1" t="s">
        <v>12</v>
      </c>
      <c r="C210" s="1">
        <v>94</v>
      </c>
      <c r="D210" s="1">
        <v>46</v>
      </c>
      <c r="E210" s="1" t="s">
        <v>26</v>
      </c>
      <c r="F210" s="1">
        <v>18179</v>
      </c>
      <c r="G210" s="1" t="str">
        <f t="shared" si="9"/>
        <v>Sufficient</v>
      </c>
      <c r="H210" s="1">
        <f t="shared" si="10"/>
        <v>1708826</v>
      </c>
      <c r="I210" s="1">
        <f t="shared" si="11"/>
        <v>3635.8</v>
      </c>
    </row>
    <row r="211" spans="1:9" x14ac:dyDescent="0.3">
      <c r="A211" s="1" t="s">
        <v>228</v>
      </c>
      <c r="B211" s="1" t="s">
        <v>15</v>
      </c>
      <c r="C211" s="1">
        <v>168</v>
      </c>
      <c r="D211" s="1">
        <v>41</v>
      </c>
      <c r="E211" s="1" t="s">
        <v>16</v>
      </c>
      <c r="F211" s="1">
        <v>12461</v>
      </c>
      <c r="G211" s="1" t="str">
        <f t="shared" si="9"/>
        <v>Sufficient</v>
      </c>
      <c r="H211" s="1">
        <f t="shared" si="10"/>
        <v>2093448</v>
      </c>
      <c r="I211" s="1">
        <f t="shared" si="11"/>
        <v>2492.2000000000003</v>
      </c>
    </row>
    <row r="212" spans="1:9" x14ac:dyDescent="0.3">
      <c r="A212" s="1" t="s">
        <v>229</v>
      </c>
      <c r="B212" s="1" t="s">
        <v>25</v>
      </c>
      <c r="C212" s="1">
        <v>12</v>
      </c>
      <c r="D212" s="1">
        <v>31</v>
      </c>
      <c r="E212" s="1" t="s">
        <v>13</v>
      </c>
      <c r="F212" s="1">
        <v>30061</v>
      </c>
      <c r="G212" s="1" t="str">
        <f t="shared" si="9"/>
        <v>Low Stock</v>
      </c>
      <c r="H212" s="1">
        <f t="shared" si="10"/>
        <v>360732</v>
      </c>
      <c r="I212" s="1">
        <f t="shared" si="11"/>
        <v>6012.2000000000007</v>
      </c>
    </row>
    <row r="213" spans="1:9" x14ac:dyDescent="0.3">
      <c r="A213" s="1" t="s">
        <v>230</v>
      </c>
      <c r="B213" s="1" t="s">
        <v>25</v>
      </c>
      <c r="C213" s="1">
        <v>184</v>
      </c>
      <c r="D213" s="1">
        <v>42</v>
      </c>
      <c r="E213" s="1" t="s">
        <v>26</v>
      </c>
      <c r="F213" s="1">
        <v>42952</v>
      </c>
      <c r="G213" s="1" t="str">
        <f t="shared" si="9"/>
        <v>Sufficient</v>
      </c>
      <c r="H213" s="1">
        <f t="shared" si="10"/>
        <v>7903168</v>
      </c>
      <c r="I213" s="1">
        <f t="shared" si="11"/>
        <v>8590.4</v>
      </c>
    </row>
    <row r="214" spans="1:9" x14ac:dyDescent="0.3">
      <c r="A214" s="1" t="s">
        <v>231</v>
      </c>
      <c r="B214" s="1" t="s">
        <v>15</v>
      </c>
      <c r="C214" s="1">
        <v>103</v>
      </c>
      <c r="D214" s="1">
        <v>45</v>
      </c>
      <c r="E214" s="1" t="s">
        <v>10</v>
      </c>
      <c r="F214" s="1">
        <v>64446</v>
      </c>
      <c r="G214" s="1" t="str">
        <f t="shared" si="9"/>
        <v>Sufficient</v>
      </c>
      <c r="H214" s="1">
        <f t="shared" si="10"/>
        <v>6637938</v>
      </c>
      <c r="I214" s="1">
        <f t="shared" si="11"/>
        <v>12889.2</v>
      </c>
    </row>
    <row r="215" spans="1:9" x14ac:dyDescent="0.3">
      <c r="A215" s="1" t="s">
        <v>232</v>
      </c>
      <c r="B215" s="1" t="s">
        <v>20</v>
      </c>
      <c r="C215" s="1">
        <v>31</v>
      </c>
      <c r="D215" s="1">
        <v>40</v>
      </c>
      <c r="E215" s="1" t="s">
        <v>10</v>
      </c>
      <c r="F215" s="1">
        <v>68396</v>
      </c>
      <c r="G215" s="1" t="str">
        <f t="shared" si="9"/>
        <v>Low Stock</v>
      </c>
      <c r="H215" s="1">
        <f t="shared" si="10"/>
        <v>2120276</v>
      </c>
      <c r="I215" s="1">
        <f t="shared" si="11"/>
        <v>13679.2</v>
      </c>
    </row>
    <row r="216" spans="1:9" x14ac:dyDescent="0.3">
      <c r="A216" s="1" t="s">
        <v>233</v>
      </c>
      <c r="B216" s="1" t="s">
        <v>7</v>
      </c>
      <c r="C216" s="1">
        <v>147</v>
      </c>
      <c r="D216" s="1">
        <v>24</v>
      </c>
      <c r="E216" s="1" t="s">
        <v>8</v>
      </c>
      <c r="F216" s="1">
        <v>53298</v>
      </c>
      <c r="G216" s="1" t="str">
        <f t="shared" si="9"/>
        <v>Sufficient</v>
      </c>
      <c r="H216" s="1">
        <f t="shared" si="10"/>
        <v>7834806</v>
      </c>
      <c r="I216" s="1">
        <f t="shared" si="11"/>
        <v>10659.6</v>
      </c>
    </row>
    <row r="217" spans="1:9" x14ac:dyDescent="0.3">
      <c r="A217" s="1" t="s">
        <v>234</v>
      </c>
      <c r="B217" s="1" t="s">
        <v>12</v>
      </c>
      <c r="C217" s="1">
        <v>92</v>
      </c>
      <c r="D217" s="1">
        <v>46</v>
      </c>
      <c r="E217" s="1" t="s">
        <v>16</v>
      </c>
      <c r="F217" s="1">
        <v>45138</v>
      </c>
      <c r="G217" s="1" t="str">
        <f t="shared" si="9"/>
        <v>Sufficient</v>
      </c>
      <c r="H217" s="1">
        <f t="shared" si="10"/>
        <v>4152696</v>
      </c>
      <c r="I217" s="1">
        <f t="shared" si="11"/>
        <v>9027.6</v>
      </c>
    </row>
    <row r="218" spans="1:9" x14ac:dyDescent="0.3">
      <c r="A218" s="1" t="s">
        <v>235</v>
      </c>
      <c r="B218" s="1" t="s">
        <v>15</v>
      </c>
      <c r="C218" s="1">
        <v>50</v>
      </c>
      <c r="D218" s="1">
        <v>22</v>
      </c>
      <c r="E218" s="1" t="s">
        <v>16</v>
      </c>
      <c r="F218" s="1">
        <v>79505</v>
      </c>
      <c r="G218" s="1" t="str">
        <f t="shared" si="9"/>
        <v>Sufficient</v>
      </c>
      <c r="H218" s="1">
        <f t="shared" si="10"/>
        <v>3975250</v>
      </c>
      <c r="I218" s="1">
        <f t="shared" si="11"/>
        <v>15901</v>
      </c>
    </row>
    <row r="219" spans="1:9" x14ac:dyDescent="0.3">
      <c r="A219" s="1" t="s">
        <v>236</v>
      </c>
      <c r="B219" s="1" t="s">
        <v>29</v>
      </c>
      <c r="C219" s="1">
        <v>200</v>
      </c>
      <c r="D219" s="1">
        <v>27</v>
      </c>
      <c r="E219" s="1" t="s">
        <v>10</v>
      </c>
      <c r="F219" s="1">
        <v>42792</v>
      </c>
      <c r="G219" s="1" t="str">
        <f t="shared" si="9"/>
        <v>Sufficient</v>
      </c>
      <c r="H219" s="1">
        <f t="shared" si="10"/>
        <v>8558400</v>
      </c>
      <c r="I219" s="1">
        <f t="shared" si="11"/>
        <v>8558.4</v>
      </c>
    </row>
    <row r="220" spans="1:9" x14ac:dyDescent="0.3">
      <c r="A220" s="1" t="s">
        <v>237</v>
      </c>
      <c r="B220" s="1" t="s">
        <v>20</v>
      </c>
      <c r="C220" s="1">
        <v>20</v>
      </c>
      <c r="D220" s="1">
        <v>19</v>
      </c>
      <c r="E220" s="1" t="s">
        <v>13</v>
      </c>
      <c r="F220" s="1">
        <v>21637</v>
      </c>
      <c r="G220" s="1" t="str">
        <f t="shared" si="9"/>
        <v>Sufficient</v>
      </c>
      <c r="H220" s="1">
        <f t="shared" si="10"/>
        <v>432740</v>
      </c>
      <c r="I220" s="1">
        <f t="shared" si="11"/>
        <v>4327.4000000000005</v>
      </c>
    </row>
    <row r="221" spans="1:9" x14ac:dyDescent="0.3">
      <c r="A221" s="1" t="s">
        <v>238</v>
      </c>
      <c r="B221" s="1" t="s">
        <v>23</v>
      </c>
      <c r="C221" s="1">
        <v>159</v>
      </c>
      <c r="D221" s="1">
        <v>15</v>
      </c>
      <c r="E221" s="1" t="s">
        <v>8</v>
      </c>
      <c r="F221" s="1">
        <v>53267</v>
      </c>
      <c r="G221" s="1" t="str">
        <f t="shared" si="9"/>
        <v>Sufficient</v>
      </c>
      <c r="H221" s="1">
        <f t="shared" si="10"/>
        <v>8469453</v>
      </c>
      <c r="I221" s="1">
        <f t="shared" si="11"/>
        <v>10653.400000000001</v>
      </c>
    </row>
    <row r="222" spans="1:9" x14ac:dyDescent="0.3">
      <c r="A222" s="1" t="s">
        <v>239</v>
      </c>
      <c r="B222" s="1" t="s">
        <v>7</v>
      </c>
      <c r="C222" s="1">
        <v>53</v>
      </c>
      <c r="D222" s="1">
        <v>26</v>
      </c>
      <c r="E222" s="1" t="s">
        <v>10</v>
      </c>
      <c r="F222" s="1">
        <v>6302</v>
      </c>
      <c r="G222" s="1" t="str">
        <f t="shared" si="9"/>
        <v>Sufficient</v>
      </c>
      <c r="H222" s="1">
        <f t="shared" si="10"/>
        <v>334006</v>
      </c>
      <c r="I222" s="1">
        <f t="shared" si="11"/>
        <v>1260.4000000000001</v>
      </c>
    </row>
    <row r="223" spans="1:9" x14ac:dyDescent="0.3">
      <c r="A223" s="1" t="s">
        <v>240</v>
      </c>
      <c r="B223" s="1" t="s">
        <v>20</v>
      </c>
      <c r="C223" s="1">
        <v>172</v>
      </c>
      <c r="D223" s="1">
        <v>49</v>
      </c>
      <c r="E223" s="1" t="s">
        <v>8</v>
      </c>
      <c r="F223" s="1">
        <v>66855</v>
      </c>
      <c r="G223" s="1" t="str">
        <f t="shared" si="9"/>
        <v>Sufficient</v>
      </c>
      <c r="H223" s="1">
        <f t="shared" si="10"/>
        <v>11499060</v>
      </c>
      <c r="I223" s="1">
        <f t="shared" si="11"/>
        <v>13371</v>
      </c>
    </row>
    <row r="224" spans="1:9" x14ac:dyDescent="0.3">
      <c r="A224" s="1" t="s">
        <v>241</v>
      </c>
      <c r="B224" s="1" t="s">
        <v>20</v>
      </c>
      <c r="C224" s="1">
        <v>113</v>
      </c>
      <c r="D224" s="1">
        <v>31</v>
      </c>
      <c r="E224" s="1" t="s">
        <v>16</v>
      </c>
      <c r="F224" s="1">
        <v>52090</v>
      </c>
      <c r="G224" s="1" t="str">
        <f t="shared" si="9"/>
        <v>Sufficient</v>
      </c>
      <c r="H224" s="1">
        <f t="shared" si="10"/>
        <v>5886170</v>
      </c>
      <c r="I224" s="1">
        <f t="shared" si="11"/>
        <v>10418</v>
      </c>
    </row>
    <row r="225" spans="1:9" x14ac:dyDescent="0.3">
      <c r="A225" s="1" t="s">
        <v>242</v>
      </c>
      <c r="B225" s="1" t="s">
        <v>29</v>
      </c>
      <c r="C225" s="1">
        <v>177</v>
      </c>
      <c r="D225" s="1">
        <v>32</v>
      </c>
      <c r="E225" s="1" t="s">
        <v>10</v>
      </c>
      <c r="F225" s="1">
        <v>52813</v>
      </c>
      <c r="G225" s="1" t="str">
        <f t="shared" si="9"/>
        <v>Sufficient</v>
      </c>
      <c r="H225" s="1">
        <f t="shared" si="10"/>
        <v>9347901</v>
      </c>
      <c r="I225" s="1">
        <f t="shared" si="11"/>
        <v>10562.6</v>
      </c>
    </row>
    <row r="226" spans="1:9" x14ac:dyDescent="0.3">
      <c r="A226" s="1" t="s">
        <v>243</v>
      </c>
      <c r="B226" s="1" t="s">
        <v>18</v>
      </c>
      <c r="C226" s="1">
        <v>152</v>
      </c>
      <c r="D226" s="1">
        <v>24</v>
      </c>
      <c r="E226" s="1" t="s">
        <v>10</v>
      </c>
      <c r="F226" s="1">
        <v>22557</v>
      </c>
      <c r="G226" s="1" t="str">
        <f t="shared" si="9"/>
        <v>Sufficient</v>
      </c>
      <c r="H226" s="1">
        <f t="shared" si="10"/>
        <v>3428664</v>
      </c>
      <c r="I226" s="1">
        <f t="shared" si="11"/>
        <v>4511.4000000000005</v>
      </c>
    </row>
    <row r="227" spans="1:9" x14ac:dyDescent="0.3">
      <c r="A227" s="1" t="s">
        <v>244</v>
      </c>
      <c r="B227" s="1" t="s">
        <v>18</v>
      </c>
      <c r="C227" s="1">
        <v>195</v>
      </c>
      <c r="D227" s="1">
        <v>35</v>
      </c>
      <c r="E227" s="1" t="s">
        <v>26</v>
      </c>
      <c r="F227" s="1">
        <v>34619</v>
      </c>
      <c r="G227" s="1" t="str">
        <f t="shared" si="9"/>
        <v>Sufficient</v>
      </c>
      <c r="H227" s="1">
        <f t="shared" si="10"/>
        <v>6750705</v>
      </c>
      <c r="I227" s="1">
        <f t="shared" si="11"/>
        <v>6923.8</v>
      </c>
    </row>
    <row r="228" spans="1:9" x14ac:dyDescent="0.3">
      <c r="A228" s="1" t="s">
        <v>245</v>
      </c>
      <c r="B228" s="1" t="s">
        <v>7</v>
      </c>
      <c r="C228" s="1">
        <v>122</v>
      </c>
      <c r="D228" s="1">
        <v>23</v>
      </c>
      <c r="E228" s="1" t="s">
        <v>16</v>
      </c>
      <c r="F228" s="1">
        <v>11431</v>
      </c>
      <c r="G228" s="1" t="str">
        <f t="shared" si="9"/>
        <v>Sufficient</v>
      </c>
      <c r="H228" s="1">
        <f t="shared" si="10"/>
        <v>1394582</v>
      </c>
      <c r="I228" s="1">
        <f t="shared" si="11"/>
        <v>2286.2000000000003</v>
      </c>
    </row>
    <row r="229" spans="1:9" x14ac:dyDescent="0.3">
      <c r="A229" s="1" t="s">
        <v>246</v>
      </c>
      <c r="B229" s="1" t="s">
        <v>23</v>
      </c>
      <c r="C229" s="1">
        <v>14</v>
      </c>
      <c r="D229" s="1">
        <v>12</v>
      </c>
      <c r="E229" s="1" t="s">
        <v>13</v>
      </c>
      <c r="F229" s="1">
        <v>70828</v>
      </c>
      <c r="G229" s="1" t="str">
        <f t="shared" si="9"/>
        <v>Sufficient</v>
      </c>
      <c r="H229" s="1">
        <f t="shared" si="10"/>
        <v>991592</v>
      </c>
      <c r="I229" s="1">
        <f t="shared" si="11"/>
        <v>14165.6</v>
      </c>
    </row>
    <row r="230" spans="1:9" x14ac:dyDescent="0.3">
      <c r="A230" s="1" t="s">
        <v>247</v>
      </c>
      <c r="B230" s="1" t="s">
        <v>20</v>
      </c>
      <c r="C230" s="1">
        <v>1</v>
      </c>
      <c r="D230" s="1">
        <v>25</v>
      </c>
      <c r="E230" s="1" t="s">
        <v>13</v>
      </c>
      <c r="F230" s="1">
        <v>61218</v>
      </c>
      <c r="G230" s="1" t="str">
        <f t="shared" si="9"/>
        <v>Low Stock</v>
      </c>
      <c r="H230" s="1">
        <f t="shared" si="10"/>
        <v>61218</v>
      </c>
      <c r="I230" s="1">
        <f t="shared" si="11"/>
        <v>12243.6</v>
      </c>
    </row>
    <row r="231" spans="1:9" x14ac:dyDescent="0.3">
      <c r="A231" s="1" t="s">
        <v>248</v>
      </c>
      <c r="B231" s="1" t="s">
        <v>18</v>
      </c>
      <c r="C231" s="1">
        <v>114</v>
      </c>
      <c r="D231" s="1">
        <v>38</v>
      </c>
      <c r="E231" s="1" t="s">
        <v>16</v>
      </c>
      <c r="F231" s="1">
        <v>22650</v>
      </c>
      <c r="G231" s="1" t="str">
        <f t="shared" si="9"/>
        <v>Sufficient</v>
      </c>
      <c r="H231" s="1">
        <f t="shared" si="10"/>
        <v>2582100</v>
      </c>
      <c r="I231" s="1">
        <f t="shared" si="11"/>
        <v>4530</v>
      </c>
    </row>
    <row r="232" spans="1:9" x14ac:dyDescent="0.3">
      <c r="A232" s="1" t="s">
        <v>249</v>
      </c>
      <c r="B232" s="1" t="s">
        <v>23</v>
      </c>
      <c r="C232" s="1">
        <v>196</v>
      </c>
      <c r="D232" s="1">
        <v>33</v>
      </c>
      <c r="E232" s="1" t="s">
        <v>13</v>
      </c>
      <c r="F232" s="1">
        <v>35121</v>
      </c>
      <c r="G232" s="1" t="str">
        <f t="shared" si="9"/>
        <v>Sufficient</v>
      </c>
      <c r="H232" s="1">
        <f t="shared" si="10"/>
        <v>6883716</v>
      </c>
      <c r="I232" s="1">
        <f t="shared" si="11"/>
        <v>7024.2000000000007</v>
      </c>
    </row>
    <row r="233" spans="1:9" x14ac:dyDescent="0.3">
      <c r="A233" s="1" t="s">
        <v>250</v>
      </c>
      <c r="B233" s="1" t="s">
        <v>20</v>
      </c>
      <c r="C233" s="1">
        <v>190</v>
      </c>
      <c r="D233" s="1">
        <v>31</v>
      </c>
      <c r="E233" s="1" t="s">
        <v>26</v>
      </c>
      <c r="F233" s="1">
        <v>4246</v>
      </c>
      <c r="G233" s="1" t="str">
        <f t="shared" si="9"/>
        <v>Sufficient</v>
      </c>
      <c r="H233" s="1">
        <f t="shared" si="10"/>
        <v>806740</v>
      </c>
      <c r="I233" s="1">
        <f t="shared" si="11"/>
        <v>849.2</v>
      </c>
    </row>
    <row r="234" spans="1:9" x14ac:dyDescent="0.3">
      <c r="A234" s="1" t="s">
        <v>251</v>
      </c>
      <c r="B234" s="1" t="s">
        <v>29</v>
      </c>
      <c r="C234" s="1">
        <v>46</v>
      </c>
      <c r="D234" s="1">
        <v>24</v>
      </c>
      <c r="E234" s="1" t="s">
        <v>26</v>
      </c>
      <c r="F234" s="1">
        <v>79801</v>
      </c>
      <c r="G234" s="1" t="str">
        <f t="shared" si="9"/>
        <v>Sufficient</v>
      </c>
      <c r="H234" s="1">
        <f t="shared" si="10"/>
        <v>3670846</v>
      </c>
      <c r="I234" s="1">
        <f t="shared" si="11"/>
        <v>15960.2</v>
      </c>
    </row>
    <row r="235" spans="1:9" x14ac:dyDescent="0.3">
      <c r="A235" s="1" t="s">
        <v>252</v>
      </c>
      <c r="B235" s="1" t="s">
        <v>25</v>
      </c>
      <c r="C235" s="1">
        <v>140</v>
      </c>
      <c r="D235" s="1">
        <v>10</v>
      </c>
      <c r="E235" s="1" t="s">
        <v>8</v>
      </c>
      <c r="F235" s="1">
        <v>7520</v>
      </c>
      <c r="G235" s="1" t="str">
        <f t="shared" si="9"/>
        <v>Sufficient</v>
      </c>
      <c r="H235" s="1">
        <f t="shared" si="10"/>
        <v>1052800</v>
      </c>
      <c r="I235" s="1">
        <f t="shared" si="11"/>
        <v>1504</v>
      </c>
    </row>
    <row r="236" spans="1:9" x14ac:dyDescent="0.3">
      <c r="A236" s="1" t="s">
        <v>253</v>
      </c>
      <c r="B236" s="1" t="s">
        <v>12</v>
      </c>
      <c r="C236" s="1">
        <v>148</v>
      </c>
      <c r="D236" s="1">
        <v>40</v>
      </c>
      <c r="E236" s="1" t="s">
        <v>13</v>
      </c>
      <c r="F236" s="1">
        <v>29587</v>
      </c>
      <c r="G236" s="1" t="str">
        <f t="shared" si="9"/>
        <v>Sufficient</v>
      </c>
      <c r="H236" s="1">
        <f t="shared" si="10"/>
        <v>4378876</v>
      </c>
      <c r="I236" s="1">
        <f t="shared" si="11"/>
        <v>5917.4000000000005</v>
      </c>
    </row>
    <row r="237" spans="1:9" x14ac:dyDescent="0.3">
      <c r="A237" s="1" t="s">
        <v>254</v>
      </c>
      <c r="B237" s="1" t="s">
        <v>12</v>
      </c>
      <c r="C237" s="1">
        <v>91</v>
      </c>
      <c r="D237" s="1">
        <v>22</v>
      </c>
      <c r="E237" s="1" t="s">
        <v>8</v>
      </c>
      <c r="F237" s="1">
        <v>23932</v>
      </c>
      <c r="G237" s="1" t="str">
        <f t="shared" si="9"/>
        <v>Sufficient</v>
      </c>
      <c r="H237" s="1">
        <f t="shared" si="10"/>
        <v>2177812</v>
      </c>
      <c r="I237" s="1">
        <f t="shared" si="11"/>
        <v>4786.4000000000005</v>
      </c>
    </row>
    <row r="238" spans="1:9" x14ac:dyDescent="0.3">
      <c r="A238" s="1" t="s">
        <v>255</v>
      </c>
      <c r="B238" s="1" t="s">
        <v>7</v>
      </c>
      <c r="C238" s="1">
        <v>151</v>
      </c>
      <c r="D238" s="1">
        <v>19</v>
      </c>
      <c r="E238" s="1" t="s">
        <v>8</v>
      </c>
      <c r="F238" s="1">
        <v>11329</v>
      </c>
      <c r="G238" s="1" t="str">
        <f t="shared" si="9"/>
        <v>Sufficient</v>
      </c>
      <c r="H238" s="1">
        <f t="shared" si="10"/>
        <v>1710679</v>
      </c>
      <c r="I238" s="1">
        <f t="shared" si="11"/>
        <v>2265.8000000000002</v>
      </c>
    </row>
    <row r="239" spans="1:9" x14ac:dyDescent="0.3">
      <c r="A239" s="1" t="s">
        <v>256</v>
      </c>
      <c r="B239" s="1" t="s">
        <v>15</v>
      </c>
      <c r="C239" s="1">
        <v>136</v>
      </c>
      <c r="D239" s="1">
        <v>36</v>
      </c>
      <c r="E239" s="1" t="s">
        <v>8</v>
      </c>
      <c r="F239" s="1">
        <v>49227</v>
      </c>
      <c r="G239" s="1" t="str">
        <f t="shared" si="9"/>
        <v>Sufficient</v>
      </c>
      <c r="H239" s="1">
        <f t="shared" si="10"/>
        <v>6694872</v>
      </c>
      <c r="I239" s="1">
        <f t="shared" si="11"/>
        <v>9845.4000000000015</v>
      </c>
    </row>
    <row r="240" spans="1:9" x14ac:dyDescent="0.3">
      <c r="A240" s="1" t="s">
        <v>257</v>
      </c>
      <c r="B240" s="1" t="s">
        <v>15</v>
      </c>
      <c r="C240" s="1">
        <v>190</v>
      </c>
      <c r="D240" s="1">
        <v>21</v>
      </c>
      <c r="E240" s="1" t="s">
        <v>13</v>
      </c>
      <c r="F240" s="1">
        <v>8800</v>
      </c>
      <c r="G240" s="1" t="str">
        <f t="shared" si="9"/>
        <v>Sufficient</v>
      </c>
      <c r="H240" s="1">
        <f t="shared" si="10"/>
        <v>1672000</v>
      </c>
      <c r="I240" s="1">
        <f t="shared" si="11"/>
        <v>1760</v>
      </c>
    </row>
    <row r="241" spans="1:9" x14ac:dyDescent="0.3">
      <c r="A241" s="1" t="s">
        <v>258</v>
      </c>
      <c r="B241" s="1" t="s">
        <v>15</v>
      </c>
      <c r="C241" s="1">
        <v>67</v>
      </c>
      <c r="D241" s="1">
        <v>25</v>
      </c>
      <c r="E241" s="1" t="s">
        <v>16</v>
      </c>
      <c r="F241" s="1">
        <v>11085</v>
      </c>
      <c r="G241" s="1" t="str">
        <f t="shared" si="9"/>
        <v>Sufficient</v>
      </c>
      <c r="H241" s="1">
        <f t="shared" si="10"/>
        <v>742695</v>
      </c>
      <c r="I241" s="1">
        <f t="shared" si="11"/>
        <v>2217</v>
      </c>
    </row>
    <row r="242" spans="1:9" x14ac:dyDescent="0.3">
      <c r="A242" s="1" t="s">
        <v>259</v>
      </c>
      <c r="B242" s="1" t="s">
        <v>20</v>
      </c>
      <c r="C242" s="1">
        <v>130</v>
      </c>
      <c r="D242" s="1">
        <v>35</v>
      </c>
      <c r="E242" s="1" t="s">
        <v>10</v>
      </c>
      <c r="F242" s="1">
        <v>46059</v>
      </c>
      <c r="G242" s="1" t="str">
        <f t="shared" si="9"/>
        <v>Sufficient</v>
      </c>
      <c r="H242" s="1">
        <f t="shared" si="10"/>
        <v>5987670</v>
      </c>
      <c r="I242" s="1">
        <f t="shared" si="11"/>
        <v>9211.8000000000011</v>
      </c>
    </row>
    <row r="243" spans="1:9" x14ac:dyDescent="0.3">
      <c r="A243" s="1" t="s">
        <v>260</v>
      </c>
      <c r="B243" s="1" t="s">
        <v>25</v>
      </c>
      <c r="C243" s="1">
        <v>126</v>
      </c>
      <c r="D243" s="1">
        <v>29</v>
      </c>
      <c r="E243" s="1" t="s">
        <v>26</v>
      </c>
      <c r="F243" s="1">
        <v>61923</v>
      </c>
      <c r="G243" s="1" t="str">
        <f t="shared" si="9"/>
        <v>Sufficient</v>
      </c>
      <c r="H243" s="1">
        <f t="shared" si="10"/>
        <v>7802298</v>
      </c>
      <c r="I243" s="1">
        <f t="shared" si="11"/>
        <v>12384.6</v>
      </c>
    </row>
    <row r="244" spans="1:9" x14ac:dyDescent="0.3">
      <c r="A244" s="1" t="s">
        <v>261</v>
      </c>
      <c r="B244" s="1" t="s">
        <v>23</v>
      </c>
      <c r="C244" s="1">
        <v>146</v>
      </c>
      <c r="D244" s="1">
        <v>32</v>
      </c>
      <c r="E244" s="1" t="s">
        <v>26</v>
      </c>
      <c r="F244" s="1">
        <v>20431</v>
      </c>
      <c r="G244" s="1" t="str">
        <f t="shared" si="9"/>
        <v>Sufficient</v>
      </c>
      <c r="H244" s="1">
        <f t="shared" si="10"/>
        <v>2982926</v>
      </c>
      <c r="I244" s="1">
        <f t="shared" si="11"/>
        <v>4086.2000000000003</v>
      </c>
    </row>
    <row r="245" spans="1:9" x14ac:dyDescent="0.3">
      <c r="A245" s="1" t="s">
        <v>262</v>
      </c>
      <c r="B245" s="1" t="s">
        <v>18</v>
      </c>
      <c r="C245" s="1">
        <v>52</v>
      </c>
      <c r="D245" s="1">
        <v>49</v>
      </c>
      <c r="E245" s="1" t="s">
        <v>10</v>
      </c>
      <c r="F245" s="1">
        <v>1293</v>
      </c>
      <c r="G245" s="1" t="str">
        <f t="shared" si="9"/>
        <v>Sufficient</v>
      </c>
      <c r="H245" s="1">
        <f t="shared" si="10"/>
        <v>67236</v>
      </c>
      <c r="I245" s="1">
        <f t="shared" si="11"/>
        <v>258.60000000000002</v>
      </c>
    </row>
    <row r="246" spans="1:9" x14ac:dyDescent="0.3">
      <c r="A246" s="1" t="s">
        <v>263</v>
      </c>
      <c r="B246" s="1" t="s">
        <v>29</v>
      </c>
      <c r="C246" s="1">
        <v>166</v>
      </c>
      <c r="D246" s="1">
        <v>31</v>
      </c>
      <c r="E246" s="1" t="s">
        <v>16</v>
      </c>
      <c r="F246" s="1">
        <v>23702</v>
      </c>
      <c r="G246" s="1" t="str">
        <f t="shared" si="9"/>
        <v>Sufficient</v>
      </c>
      <c r="H246" s="1">
        <f t="shared" si="10"/>
        <v>3934532</v>
      </c>
      <c r="I246" s="1">
        <f t="shared" si="11"/>
        <v>4740.4000000000005</v>
      </c>
    </row>
    <row r="247" spans="1:9" x14ac:dyDescent="0.3">
      <c r="A247" s="1" t="s">
        <v>264</v>
      </c>
      <c r="B247" s="1" t="s">
        <v>7</v>
      </c>
      <c r="C247" s="1">
        <v>55</v>
      </c>
      <c r="D247" s="1">
        <v>40</v>
      </c>
      <c r="E247" s="1" t="s">
        <v>10</v>
      </c>
      <c r="F247" s="1">
        <v>14907</v>
      </c>
      <c r="G247" s="1" t="str">
        <f t="shared" si="9"/>
        <v>Sufficient</v>
      </c>
      <c r="H247" s="1">
        <f t="shared" si="10"/>
        <v>819885</v>
      </c>
      <c r="I247" s="1">
        <f t="shared" si="11"/>
        <v>2981.4</v>
      </c>
    </row>
    <row r="248" spans="1:9" x14ac:dyDescent="0.3">
      <c r="A248" s="1" t="s">
        <v>265</v>
      </c>
      <c r="B248" s="1" t="s">
        <v>7</v>
      </c>
      <c r="C248" s="1">
        <v>25</v>
      </c>
      <c r="D248" s="1">
        <v>27</v>
      </c>
      <c r="E248" s="1" t="s">
        <v>8</v>
      </c>
      <c r="F248" s="1">
        <v>30489</v>
      </c>
      <c r="G248" s="1" t="str">
        <f t="shared" si="9"/>
        <v>Low Stock</v>
      </c>
      <c r="H248" s="1">
        <f t="shared" si="10"/>
        <v>762225</v>
      </c>
      <c r="I248" s="1">
        <f t="shared" si="11"/>
        <v>6097.8</v>
      </c>
    </row>
    <row r="249" spans="1:9" x14ac:dyDescent="0.3">
      <c r="A249" s="1" t="s">
        <v>266</v>
      </c>
      <c r="B249" s="1" t="s">
        <v>20</v>
      </c>
      <c r="C249" s="1">
        <v>84</v>
      </c>
      <c r="D249" s="1">
        <v>19</v>
      </c>
      <c r="E249" s="1" t="s">
        <v>8</v>
      </c>
      <c r="F249" s="1">
        <v>69023</v>
      </c>
      <c r="G249" s="1" t="str">
        <f t="shared" si="9"/>
        <v>Sufficient</v>
      </c>
      <c r="H249" s="1">
        <f t="shared" si="10"/>
        <v>5797932</v>
      </c>
      <c r="I249" s="1">
        <f t="shared" si="11"/>
        <v>13804.6</v>
      </c>
    </row>
    <row r="250" spans="1:9" x14ac:dyDescent="0.3">
      <c r="A250" s="1" t="s">
        <v>267</v>
      </c>
      <c r="B250" s="1" t="s">
        <v>23</v>
      </c>
      <c r="C250" s="1">
        <v>182</v>
      </c>
      <c r="D250" s="1">
        <v>29</v>
      </c>
      <c r="E250" s="1" t="s">
        <v>8</v>
      </c>
      <c r="F250" s="1">
        <v>23708</v>
      </c>
      <c r="G250" s="1" t="str">
        <f t="shared" si="9"/>
        <v>Sufficient</v>
      </c>
      <c r="H250" s="1">
        <f t="shared" si="10"/>
        <v>4314856</v>
      </c>
      <c r="I250" s="1">
        <f t="shared" si="11"/>
        <v>4741.6000000000004</v>
      </c>
    </row>
    <row r="251" spans="1:9" x14ac:dyDescent="0.3">
      <c r="A251" s="1" t="s">
        <v>268</v>
      </c>
      <c r="B251" s="1" t="s">
        <v>29</v>
      </c>
      <c r="C251" s="1">
        <v>91</v>
      </c>
      <c r="D251" s="1">
        <v>30</v>
      </c>
      <c r="E251" s="1" t="s">
        <v>10</v>
      </c>
      <c r="F251" s="1">
        <v>65599</v>
      </c>
      <c r="G251" s="1" t="str">
        <f t="shared" si="9"/>
        <v>Sufficient</v>
      </c>
      <c r="H251" s="1">
        <f t="shared" si="10"/>
        <v>5969509</v>
      </c>
      <c r="I251" s="1">
        <f t="shared" si="11"/>
        <v>13119.800000000001</v>
      </c>
    </row>
    <row r="252" spans="1:9" x14ac:dyDescent="0.3">
      <c r="A252" s="1" t="s">
        <v>269</v>
      </c>
      <c r="B252" s="1" t="s">
        <v>18</v>
      </c>
      <c r="C252" s="1">
        <v>126</v>
      </c>
      <c r="D252" s="1">
        <v>46</v>
      </c>
      <c r="E252" s="1" t="s">
        <v>10</v>
      </c>
      <c r="F252" s="1">
        <v>52260</v>
      </c>
      <c r="G252" s="1" t="str">
        <f t="shared" si="9"/>
        <v>Sufficient</v>
      </c>
      <c r="H252" s="1">
        <f t="shared" si="10"/>
        <v>6584760</v>
      </c>
      <c r="I252" s="1">
        <f t="shared" si="11"/>
        <v>10452</v>
      </c>
    </row>
    <row r="253" spans="1:9" x14ac:dyDescent="0.3">
      <c r="A253" s="1" t="s">
        <v>270</v>
      </c>
      <c r="B253" s="1" t="s">
        <v>29</v>
      </c>
      <c r="C253" s="1">
        <v>85</v>
      </c>
      <c r="D253" s="1">
        <v>17</v>
      </c>
      <c r="E253" s="1" t="s">
        <v>16</v>
      </c>
      <c r="F253" s="1">
        <v>15832</v>
      </c>
      <c r="G253" s="1" t="str">
        <f t="shared" si="9"/>
        <v>Sufficient</v>
      </c>
      <c r="H253" s="1">
        <f t="shared" si="10"/>
        <v>1345720</v>
      </c>
      <c r="I253" s="1">
        <f t="shared" si="11"/>
        <v>3166.4</v>
      </c>
    </row>
    <row r="254" spans="1:9" x14ac:dyDescent="0.3">
      <c r="A254" s="1" t="s">
        <v>271</v>
      </c>
      <c r="B254" s="1" t="s">
        <v>23</v>
      </c>
      <c r="C254" s="1">
        <v>194</v>
      </c>
      <c r="D254" s="1">
        <v>11</v>
      </c>
      <c r="E254" s="1" t="s">
        <v>8</v>
      </c>
      <c r="F254" s="1">
        <v>4004</v>
      </c>
      <c r="G254" s="1" t="str">
        <f t="shared" si="9"/>
        <v>Sufficient</v>
      </c>
      <c r="H254" s="1">
        <f t="shared" si="10"/>
        <v>776776</v>
      </c>
      <c r="I254" s="1">
        <f t="shared" si="11"/>
        <v>800.80000000000007</v>
      </c>
    </row>
    <row r="255" spans="1:9" x14ac:dyDescent="0.3">
      <c r="A255" s="1" t="s">
        <v>272</v>
      </c>
      <c r="B255" s="1" t="s">
        <v>20</v>
      </c>
      <c r="C255" s="1">
        <v>8</v>
      </c>
      <c r="D255" s="1">
        <v>31</v>
      </c>
      <c r="E255" s="1" t="s">
        <v>10</v>
      </c>
      <c r="F255" s="1">
        <v>12726</v>
      </c>
      <c r="G255" s="1" t="str">
        <f t="shared" si="9"/>
        <v>Low Stock</v>
      </c>
      <c r="H255" s="1">
        <f t="shared" si="10"/>
        <v>101808</v>
      </c>
      <c r="I255" s="1">
        <f t="shared" si="11"/>
        <v>2545.2000000000003</v>
      </c>
    </row>
    <row r="256" spans="1:9" x14ac:dyDescent="0.3">
      <c r="A256" s="1" t="s">
        <v>273</v>
      </c>
      <c r="B256" s="1" t="s">
        <v>18</v>
      </c>
      <c r="C256" s="1">
        <v>5</v>
      </c>
      <c r="D256" s="1">
        <v>19</v>
      </c>
      <c r="E256" s="1" t="s">
        <v>16</v>
      </c>
      <c r="F256" s="1">
        <v>34759</v>
      </c>
      <c r="G256" s="1" t="str">
        <f t="shared" si="9"/>
        <v>Low Stock</v>
      </c>
      <c r="H256" s="1">
        <f t="shared" si="10"/>
        <v>173795</v>
      </c>
      <c r="I256" s="1">
        <f t="shared" si="11"/>
        <v>6951.8</v>
      </c>
    </row>
    <row r="257" spans="1:9" x14ac:dyDescent="0.3">
      <c r="A257" s="1" t="s">
        <v>274</v>
      </c>
      <c r="B257" s="1" t="s">
        <v>18</v>
      </c>
      <c r="C257" s="1">
        <v>43</v>
      </c>
      <c r="D257" s="1">
        <v>25</v>
      </c>
      <c r="E257" s="1" t="s">
        <v>10</v>
      </c>
      <c r="F257" s="1">
        <v>16014</v>
      </c>
      <c r="G257" s="1" t="str">
        <f t="shared" si="9"/>
        <v>Sufficient</v>
      </c>
      <c r="H257" s="1">
        <f t="shared" si="10"/>
        <v>688602</v>
      </c>
      <c r="I257" s="1">
        <f t="shared" si="11"/>
        <v>3202.8</v>
      </c>
    </row>
    <row r="258" spans="1:9" x14ac:dyDescent="0.3">
      <c r="A258" s="1" t="s">
        <v>275</v>
      </c>
      <c r="B258" s="1" t="s">
        <v>15</v>
      </c>
      <c r="C258" s="1">
        <v>77</v>
      </c>
      <c r="D258" s="1">
        <v>30</v>
      </c>
      <c r="E258" s="1" t="s">
        <v>13</v>
      </c>
      <c r="F258" s="1">
        <v>24834</v>
      </c>
      <c r="G258" s="1" t="str">
        <f t="shared" si="9"/>
        <v>Sufficient</v>
      </c>
      <c r="H258" s="1">
        <f t="shared" si="10"/>
        <v>1912218</v>
      </c>
      <c r="I258" s="1">
        <f t="shared" si="11"/>
        <v>4966.8</v>
      </c>
    </row>
    <row r="259" spans="1:9" x14ac:dyDescent="0.3">
      <c r="A259" s="1" t="s">
        <v>276</v>
      </c>
      <c r="B259" s="1" t="s">
        <v>7</v>
      </c>
      <c r="C259" s="1">
        <v>129</v>
      </c>
      <c r="D259" s="1">
        <v>48</v>
      </c>
      <c r="E259" s="1" t="s">
        <v>8</v>
      </c>
      <c r="F259" s="1">
        <v>64419</v>
      </c>
      <c r="G259" s="1" t="str">
        <f t="shared" ref="G259:G322" si="12">IF(C259=0,"Pending",IF(C259&lt;=D259,"Low Stock", "Sufficient"))</f>
        <v>Sufficient</v>
      </c>
      <c r="H259" s="1">
        <f t="shared" ref="H259:H322" si="13">C259*F259</f>
        <v>8310051</v>
      </c>
      <c r="I259" s="1">
        <f t="shared" ref="I259:I322" si="14">F259*0.2</f>
        <v>12883.800000000001</v>
      </c>
    </row>
    <row r="260" spans="1:9" x14ac:dyDescent="0.3">
      <c r="A260" s="1" t="s">
        <v>277</v>
      </c>
      <c r="B260" s="1" t="s">
        <v>25</v>
      </c>
      <c r="C260" s="1">
        <v>183</v>
      </c>
      <c r="D260" s="1">
        <v>22</v>
      </c>
      <c r="E260" s="1" t="s">
        <v>8</v>
      </c>
      <c r="F260" s="1">
        <v>79496</v>
      </c>
      <c r="G260" s="1" t="str">
        <f t="shared" si="12"/>
        <v>Sufficient</v>
      </c>
      <c r="H260" s="1">
        <f t="shared" si="13"/>
        <v>14547768</v>
      </c>
      <c r="I260" s="1">
        <f t="shared" si="14"/>
        <v>15899.2</v>
      </c>
    </row>
    <row r="261" spans="1:9" x14ac:dyDescent="0.3">
      <c r="A261" s="1" t="s">
        <v>278</v>
      </c>
      <c r="B261" s="1" t="s">
        <v>25</v>
      </c>
      <c r="C261" s="1">
        <v>192</v>
      </c>
      <c r="D261" s="1">
        <v>15</v>
      </c>
      <c r="E261" s="1" t="s">
        <v>8</v>
      </c>
      <c r="F261" s="1">
        <v>72419</v>
      </c>
      <c r="G261" s="1" t="str">
        <f t="shared" si="12"/>
        <v>Sufficient</v>
      </c>
      <c r="H261" s="1">
        <f t="shared" si="13"/>
        <v>13904448</v>
      </c>
      <c r="I261" s="1">
        <f t="shared" si="14"/>
        <v>14483.800000000001</v>
      </c>
    </row>
    <row r="262" spans="1:9" x14ac:dyDescent="0.3">
      <c r="A262" s="1" t="s">
        <v>279</v>
      </c>
      <c r="B262" s="1" t="s">
        <v>25</v>
      </c>
      <c r="C262" s="1">
        <v>43</v>
      </c>
      <c r="D262" s="1">
        <v>17</v>
      </c>
      <c r="E262" s="1" t="s">
        <v>26</v>
      </c>
      <c r="F262" s="1">
        <v>68798</v>
      </c>
      <c r="G262" s="1" t="str">
        <f t="shared" si="12"/>
        <v>Sufficient</v>
      </c>
      <c r="H262" s="1">
        <f t="shared" si="13"/>
        <v>2958314</v>
      </c>
      <c r="I262" s="1">
        <f t="shared" si="14"/>
        <v>13759.6</v>
      </c>
    </row>
    <row r="263" spans="1:9" x14ac:dyDescent="0.3">
      <c r="A263" s="1" t="s">
        <v>280</v>
      </c>
      <c r="B263" s="1" t="s">
        <v>23</v>
      </c>
      <c r="C263" s="1">
        <v>112</v>
      </c>
      <c r="D263" s="1">
        <v>29</v>
      </c>
      <c r="E263" s="1" t="s">
        <v>8</v>
      </c>
      <c r="F263" s="1">
        <v>32925</v>
      </c>
      <c r="G263" s="1" t="str">
        <f t="shared" si="12"/>
        <v>Sufficient</v>
      </c>
      <c r="H263" s="1">
        <f t="shared" si="13"/>
        <v>3687600</v>
      </c>
      <c r="I263" s="1">
        <f t="shared" si="14"/>
        <v>6585</v>
      </c>
    </row>
    <row r="264" spans="1:9" x14ac:dyDescent="0.3">
      <c r="A264" s="1" t="s">
        <v>281</v>
      </c>
      <c r="B264" s="1" t="s">
        <v>20</v>
      </c>
      <c r="C264" s="1">
        <v>146</v>
      </c>
      <c r="D264" s="1">
        <v>18</v>
      </c>
      <c r="E264" s="1" t="s">
        <v>26</v>
      </c>
      <c r="F264" s="1">
        <v>12433</v>
      </c>
      <c r="G264" s="1" t="str">
        <f t="shared" si="12"/>
        <v>Sufficient</v>
      </c>
      <c r="H264" s="1">
        <f t="shared" si="13"/>
        <v>1815218</v>
      </c>
      <c r="I264" s="1">
        <f t="shared" si="14"/>
        <v>2486.6000000000004</v>
      </c>
    </row>
    <row r="265" spans="1:9" x14ac:dyDescent="0.3">
      <c r="A265" s="1" t="s">
        <v>282</v>
      </c>
      <c r="B265" s="1" t="s">
        <v>29</v>
      </c>
      <c r="C265" s="1">
        <v>56</v>
      </c>
      <c r="D265" s="1">
        <v>37</v>
      </c>
      <c r="E265" s="1" t="s">
        <v>10</v>
      </c>
      <c r="F265" s="1">
        <v>17312</v>
      </c>
      <c r="G265" s="1" t="str">
        <f t="shared" si="12"/>
        <v>Sufficient</v>
      </c>
      <c r="H265" s="1">
        <f t="shared" si="13"/>
        <v>969472</v>
      </c>
      <c r="I265" s="1">
        <f t="shared" si="14"/>
        <v>3462.4</v>
      </c>
    </row>
    <row r="266" spans="1:9" x14ac:dyDescent="0.3">
      <c r="A266" s="1" t="s">
        <v>283</v>
      </c>
      <c r="B266" s="1" t="s">
        <v>29</v>
      </c>
      <c r="C266" s="1">
        <v>96</v>
      </c>
      <c r="D266" s="1">
        <v>34</v>
      </c>
      <c r="E266" s="1" t="s">
        <v>8</v>
      </c>
      <c r="F266" s="1">
        <v>17819</v>
      </c>
      <c r="G266" s="1" t="str">
        <f t="shared" si="12"/>
        <v>Sufficient</v>
      </c>
      <c r="H266" s="1">
        <f t="shared" si="13"/>
        <v>1710624</v>
      </c>
      <c r="I266" s="1">
        <f t="shared" si="14"/>
        <v>3563.8</v>
      </c>
    </row>
    <row r="267" spans="1:9" x14ac:dyDescent="0.3">
      <c r="A267" s="1" t="s">
        <v>284</v>
      </c>
      <c r="B267" s="1" t="s">
        <v>15</v>
      </c>
      <c r="C267" s="1">
        <v>104</v>
      </c>
      <c r="D267" s="1">
        <v>26</v>
      </c>
      <c r="E267" s="1" t="s">
        <v>10</v>
      </c>
      <c r="F267" s="1">
        <v>16985</v>
      </c>
      <c r="G267" s="1" t="str">
        <f t="shared" si="12"/>
        <v>Sufficient</v>
      </c>
      <c r="H267" s="1">
        <f t="shared" si="13"/>
        <v>1766440</v>
      </c>
      <c r="I267" s="1">
        <f t="shared" si="14"/>
        <v>3397</v>
      </c>
    </row>
    <row r="268" spans="1:9" x14ac:dyDescent="0.3">
      <c r="A268" s="1" t="s">
        <v>285</v>
      </c>
      <c r="B268" s="1" t="s">
        <v>20</v>
      </c>
      <c r="C268" s="1">
        <v>136</v>
      </c>
      <c r="D268" s="1">
        <v>12</v>
      </c>
      <c r="E268" s="1" t="s">
        <v>13</v>
      </c>
      <c r="F268" s="1">
        <v>43666</v>
      </c>
      <c r="G268" s="1" t="str">
        <f t="shared" si="12"/>
        <v>Sufficient</v>
      </c>
      <c r="H268" s="1">
        <f t="shared" si="13"/>
        <v>5938576</v>
      </c>
      <c r="I268" s="1">
        <f t="shared" si="14"/>
        <v>8733.2000000000007</v>
      </c>
    </row>
    <row r="269" spans="1:9" x14ac:dyDescent="0.3">
      <c r="A269" s="1" t="s">
        <v>286</v>
      </c>
      <c r="B269" s="1" t="s">
        <v>25</v>
      </c>
      <c r="C269" s="1">
        <v>84</v>
      </c>
      <c r="D269" s="1">
        <v>46</v>
      </c>
      <c r="E269" s="1" t="s">
        <v>8</v>
      </c>
      <c r="F269" s="1">
        <v>74505</v>
      </c>
      <c r="G269" s="1" t="str">
        <f t="shared" si="12"/>
        <v>Sufficient</v>
      </c>
      <c r="H269" s="1">
        <f t="shared" si="13"/>
        <v>6258420</v>
      </c>
      <c r="I269" s="1">
        <f t="shared" si="14"/>
        <v>14901</v>
      </c>
    </row>
    <row r="270" spans="1:9" x14ac:dyDescent="0.3">
      <c r="A270" s="1" t="s">
        <v>287</v>
      </c>
      <c r="B270" s="1" t="s">
        <v>15</v>
      </c>
      <c r="C270" s="1">
        <v>7</v>
      </c>
      <c r="D270" s="1">
        <v>22</v>
      </c>
      <c r="E270" s="1" t="s">
        <v>13</v>
      </c>
      <c r="F270" s="1">
        <v>76413</v>
      </c>
      <c r="G270" s="1" t="str">
        <f t="shared" si="12"/>
        <v>Low Stock</v>
      </c>
      <c r="H270" s="1">
        <f t="shared" si="13"/>
        <v>534891</v>
      </c>
      <c r="I270" s="1">
        <f t="shared" si="14"/>
        <v>15282.6</v>
      </c>
    </row>
    <row r="271" spans="1:9" x14ac:dyDescent="0.3">
      <c r="A271" s="1" t="s">
        <v>288</v>
      </c>
      <c r="B271" s="1" t="s">
        <v>29</v>
      </c>
      <c r="C271" s="1">
        <v>139</v>
      </c>
      <c r="D271" s="1">
        <v>14</v>
      </c>
      <c r="E271" s="1" t="s">
        <v>16</v>
      </c>
      <c r="F271" s="1">
        <v>27394</v>
      </c>
      <c r="G271" s="1" t="str">
        <f t="shared" si="12"/>
        <v>Sufficient</v>
      </c>
      <c r="H271" s="1">
        <f t="shared" si="13"/>
        <v>3807766</v>
      </c>
      <c r="I271" s="1">
        <f t="shared" si="14"/>
        <v>5478.8</v>
      </c>
    </row>
    <row r="272" spans="1:9" x14ac:dyDescent="0.3">
      <c r="A272" s="1" t="s">
        <v>289</v>
      </c>
      <c r="B272" s="1" t="s">
        <v>18</v>
      </c>
      <c r="C272" s="1">
        <v>101</v>
      </c>
      <c r="D272" s="1">
        <v>18</v>
      </c>
      <c r="E272" s="1" t="s">
        <v>10</v>
      </c>
      <c r="F272" s="1">
        <v>19043</v>
      </c>
      <c r="G272" s="1" t="str">
        <f t="shared" si="12"/>
        <v>Sufficient</v>
      </c>
      <c r="H272" s="1">
        <f t="shared" si="13"/>
        <v>1923343</v>
      </c>
      <c r="I272" s="1">
        <f t="shared" si="14"/>
        <v>3808.6000000000004</v>
      </c>
    </row>
    <row r="273" spans="1:9" x14ac:dyDescent="0.3">
      <c r="A273" s="1" t="s">
        <v>290</v>
      </c>
      <c r="B273" s="1" t="s">
        <v>7</v>
      </c>
      <c r="C273" s="1">
        <v>111</v>
      </c>
      <c r="D273" s="1">
        <v>45</v>
      </c>
      <c r="E273" s="1" t="s">
        <v>26</v>
      </c>
      <c r="F273" s="1">
        <v>71795</v>
      </c>
      <c r="G273" s="1" t="str">
        <f t="shared" si="12"/>
        <v>Sufficient</v>
      </c>
      <c r="H273" s="1">
        <f t="shared" si="13"/>
        <v>7969245</v>
      </c>
      <c r="I273" s="1">
        <f t="shared" si="14"/>
        <v>14359</v>
      </c>
    </row>
    <row r="274" spans="1:9" x14ac:dyDescent="0.3">
      <c r="A274" s="1" t="s">
        <v>291</v>
      </c>
      <c r="B274" s="1" t="s">
        <v>29</v>
      </c>
      <c r="C274" s="1">
        <v>71</v>
      </c>
      <c r="D274" s="1">
        <v>39</v>
      </c>
      <c r="E274" s="1" t="s">
        <v>16</v>
      </c>
      <c r="F274" s="1">
        <v>32282</v>
      </c>
      <c r="G274" s="1" t="str">
        <f t="shared" si="12"/>
        <v>Sufficient</v>
      </c>
      <c r="H274" s="1">
        <f t="shared" si="13"/>
        <v>2292022</v>
      </c>
      <c r="I274" s="1">
        <f t="shared" si="14"/>
        <v>6456.4000000000005</v>
      </c>
    </row>
    <row r="275" spans="1:9" x14ac:dyDescent="0.3">
      <c r="A275" s="1" t="s">
        <v>292</v>
      </c>
      <c r="B275" s="1" t="s">
        <v>12</v>
      </c>
      <c r="C275" s="1">
        <v>8</v>
      </c>
      <c r="D275" s="1">
        <v>15</v>
      </c>
      <c r="E275" s="1" t="s">
        <v>16</v>
      </c>
      <c r="F275" s="1">
        <v>38352</v>
      </c>
      <c r="G275" s="1" t="str">
        <f t="shared" si="12"/>
        <v>Low Stock</v>
      </c>
      <c r="H275" s="1">
        <f t="shared" si="13"/>
        <v>306816</v>
      </c>
      <c r="I275" s="1">
        <f t="shared" si="14"/>
        <v>7670.4000000000005</v>
      </c>
    </row>
    <row r="276" spans="1:9" x14ac:dyDescent="0.3">
      <c r="A276" s="1" t="s">
        <v>293</v>
      </c>
      <c r="B276" s="1" t="s">
        <v>12</v>
      </c>
      <c r="C276" s="1">
        <v>183</v>
      </c>
      <c r="D276" s="1">
        <v>31</v>
      </c>
      <c r="E276" s="1" t="s">
        <v>13</v>
      </c>
      <c r="F276" s="1">
        <v>25885</v>
      </c>
      <c r="G276" s="1" t="str">
        <f t="shared" si="12"/>
        <v>Sufficient</v>
      </c>
      <c r="H276" s="1">
        <f t="shared" si="13"/>
        <v>4736955</v>
      </c>
      <c r="I276" s="1">
        <f t="shared" si="14"/>
        <v>5177</v>
      </c>
    </row>
    <row r="277" spans="1:9" x14ac:dyDescent="0.3">
      <c r="A277" s="1" t="s">
        <v>294</v>
      </c>
      <c r="B277" s="1" t="s">
        <v>23</v>
      </c>
      <c r="C277" s="1">
        <v>181</v>
      </c>
      <c r="D277" s="1">
        <v>48</v>
      </c>
      <c r="E277" s="1" t="s">
        <v>26</v>
      </c>
      <c r="F277" s="1">
        <v>21077</v>
      </c>
      <c r="G277" s="1" t="str">
        <f t="shared" si="12"/>
        <v>Sufficient</v>
      </c>
      <c r="H277" s="1">
        <f t="shared" si="13"/>
        <v>3814937</v>
      </c>
      <c r="I277" s="1">
        <f t="shared" si="14"/>
        <v>4215.4000000000005</v>
      </c>
    </row>
    <row r="278" spans="1:9" x14ac:dyDescent="0.3">
      <c r="A278" s="1" t="s">
        <v>295</v>
      </c>
      <c r="B278" s="1" t="s">
        <v>18</v>
      </c>
      <c r="C278" s="1">
        <v>142</v>
      </c>
      <c r="D278" s="1">
        <v>27</v>
      </c>
      <c r="E278" s="1" t="s">
        <v>13</v>
      </c>
      <c r="F278" s="1">
        <v>67740</v>
      </c>
      <c r="G278" s="1" t="str">
        <f t="shared" si="12"/>
        <v>Sufficient</v>
      </c>
      <c r="H278" s="1">
        <f t="shared" si="13"/>
        <v>9619080</v>
      </c>
      <c r="I278" s="1">
        <f t="shared" si="14"/>
        <v>13548</v>
      </c>
    </row>
    <row r="279" spans="1:9" x14ac:dyDescent="0.3">
      <c r="A279" s="1" t="s">
        <v>296</v>
      </c>
      <c r="B279" s="1" t="s">
        <v>23</v>
      </c>
      <c r="C279" s="1">
        <v>167</v>
      </c>
      <c r="D279" s="1">
        <v>33</v>
      </c>
      <c r="E279" s="1" t="s">
        <v>8</v>
      </c>
      <c r="F279" s="1">
        <v>49732</v>
      </c>
      <c r="G279" s="1" t="str">
        <f t="shared" si="12"/>
        <v>Sufficient</v>
      </c>
      <c r="H279" s="1">
        <f t="shared" si="13"/>
        <v>8305244</v>
      </c>
      <c r="I279" s="1">
        <f t="shared" si="14"/>
        <v>9946.4000000000015</v>
      </c>
    </row>
    <row r="280" spans="1:9" x14ac:dyDescent="0.3">
      <c r="A280" s="1" t="s">
        <v>297</v>
      </c>
      <c r="B280" s="1" t="s">
        <v>25</v>
      </c>
      <c r="C280" s="1">
        <v>42</v>
      </c>
      <c r="D280" s="1">
        <v>13</v>
      </c>
      <c r="E280" s="1" t="s">
        <v>26</v>
      </c>
      <c r="F280" s="1">
        <v>75667</v>
      </c>
      <c r="G280" s="1" t="str">
        <f t="shared" si="12"/>
        <v>Sufficient</v>
      </c>
      <c r="H280" s="1">
        <f t="shared" si="13"/>
        <v>3178014</v>
      </c>
      <c r="I280" s="1">
        <f t="shared" si="14"/>
        <v>15133.400000000001</v>
      </c>
    </row>
    <row r="281" spans="1:9" x14ac:dyDescent="0.3">
      <c r="A281" s="1" t="s">
        <v>298</v>
      </c>
      <c r="B281" s="1" t="s">
        <v>25</v>
      </c>
      <c r="C281" s="1">
        <v>86</v>
      </c>
      <c r="D281" s="1">
        <v>19</v>
      </c>
      <c r="E281" s="1" t="s">
        <v>8</v>
      </c>
      <c r="F281" s="1">
        <v>11895</v>
      </c>
      <c r="G281" s="1" t="str">
        <f t="shared" si="12"/>
        <v>Sufficient</v>
      </c>
      <c r="H281" s="1">
        <f t="shared" si="13"/>
        <v>1022970</v>
      </c>
      <c r="I281" s="1">
        <f t="shared" si="14"/>
        <v>2379</v>
      </c>
    </row>
    <row r="282" spans="1:9" x14ac:dyDescent="0.3">
      <c r="A282" s="1" t="s">
        <v>299</v>
      </c>
      <c r="B282" s="1" t="s">
        <v>29</v>
      </c>
      <c r="C282" s="1">
        <v>28</v>
      </c>
      <c r="D282" s="1">
        <v>35</v>
      </c>
      <c r="E282" s="1" t="s">
        <v>16</v>
      </c>
      <c r="F282" s="1">
        <v>55988</v>
      </c>
      <c r="G282" s="1" t="str">
        <f t="shared" si="12"/>
        <v>Low Stock</v>
      </c>
      <c r="H282" s="1">
        <f t="shared" si="13"/>
        <v>1567664</v>
      </c>
      <c r="I282" s="1">
        <f t="shared" si="14"/>
        <v>11197.6</v>
      </c>
    </row>
    <row r="283" spans="1:9" x14ac:dyDescent="0.3">
      <c r="A283" s="1" t="s">
        <v>300</v>
      </c>
      <c r="B283" s="1" t="s">
        <v>15</v>
      </c>
      <c r="C283" s="1">
        <v>142</v>
      </c>
      <c r="D283" s="1">
        <v>47</v>
      </c>
      <c r="E283" s="1" t="s">
        <v>10</v>
      </c>
      <c r="F283" s="1">
        <v>42273</v>
      </c>
      <c r="G283" s="1" t="str">
        <f t="shared" si="12"/>
        <v>Sufficient</v>
      </c>
      <c r="H283" s="1">
        <f t="shared" si="13"/>
        <v>6002766</v>
      </c>
      <c r="I283" s="1">
        <f t="shared" si="14"/>
        <v>8454.6</v>
      </c>
    </row>
    <row r="284" spans="1:9" x14ac:dyDescent="0.3">
      <c r="A284" s="1" t="s">
        <v>301</v>
      </c>
      <c r="B284" s="1" t="s">
        <v>12</v>
      </c>
      <c r="C284" s="1">
        <v>89</v>
      </c>
      <c r="D284" s="1">
        <v>45</v>
      </c>
      <c r="E284" s="1" t="s">
        <v>26</v>
      </c>
      <c r="F284" s="1">
        <v>1428</v>
      </c>
      <c r="G284" s="1" t="str">
        <f t="shared" si="12"/>
        <v>Sufficient</v>
      </c>
      <c r="H284" s="1">
        <f t="shared" si="13"/>
        <v>127092</v>
      </c>
      <c r="I284" s="1">
        <f t="shared" si="14"/>
        <v>285.60000000000002</v>
      </c>
    </row>
    <row r="285" spans="1:9" x14ac:dyDescent="0.3">
      <c r="A285" s="1" t="s">
        <v>302</v>
      </c>
      <c r="B285" s="1" t="s">
        <v>18</v>
      </c>
      <c r="C285" s="1">
        <v>198</v>
      </c>
      <c r="D285" s="1">
        <v>48</v>
      </c>
      <c r="E285" s="1" t="s">
        <v>16</v>
      </c>
      <c r="F285" s="1">
        <v>49314</v>
      </c>
      <c r="G285" s="1" t="str">
        <f t="shared" si="12"/>
        <v>Sufficient</v>
      </c>
      <c r="H285" s="1">
        <f t="shared" si="13"/>
        <v>9764172</v>
      </c>
      <c r="I285" s="1">
        <f t="shared" si="14"/>
        <v>9862.8000000000011</v>
      </c>
    </row>
    <row r="286" spans="1:9" x14ac:dyDescent="0.3">
      <c r="A286" s="1" t="s">
        <v>303</v>
      </c>
      <c r="B286" s="1" t="s">
        <v>12</v>
      </c>
      <c r="C286" s="1">
        <v>91</v>
      </c>
      <c r="D286" s="1">
        <v>12</v>
      </c>
      <c r="E286" s="1" t="s">
        <v>26</v>
      </c>
      <c r="F286" s="1">
        <v>47388</v>
      </c>
      <c r="G286" s="1" t="str">
        <f t="shared" si="12"/>
        <v>Sufficient</v>
      </c>
      <c r="H286" s="1">
        <f t="shared" si="13"/>
        <v>4312308</v>
      </c>
      <c r="I286" s="1">
        <f t="shared" si="14"/>
        <v>9477.6</v>
      </c>
    </row>
    <row r="287" spans="1:9" x14ac:dyDescent="0.3">
      <c r="A287" s="1" t="s">
        <v>304</v>
      </c>
      <c r="B287" s="1" t="s">
        <v>12</v>
      </c>
      <c r="C287" s="1">
        <v>105</v>
      </c>
      <c r="D287" s="1">
        <v>36</v>
      </c>
      <c r="E287" s="1" t="s">
        <v>8</v>
      </c>
      <c r="F287" s="1">
        <v>60550</v>
      </c>
      <c r="G287" s="1" t="str">
        <f t="shared" si="12"/>
        <v>Sufficient</v>
      </c>
      <c r="H287" s="1">
        <f t="shared" si="13"/>
        <v>6357750</v>
      </c>
      <c r="I287" s="1">
        <f t="shared" si="14"/>
        <v>12110</v>
      </c>
    </row>
    <row r="288" spans="1:9" x14ac:dyDescent="0.3">
      <c r="A288" s="1" t="s">
        <v>305</v>
      </c>
      <c r="B288" s="1" t="s">
        <v>20</v>
      </c>
      <c r="C288" s="1">
        <v>66</v>
      </c>
      <c r="D288" s="1">
        <v>23</v>
      </c>
      <c r="E288" s="1" t="s">
        <v>13</v>
      </c>
      <c r="F288" s="1">
        <v>61866</v>
      </c>
      <c r="G288" s="1" t="str">
        <f t="shared" si="12"/>
        <v>Sufficient</v>
      </c>
      <c r="H288" s="1">
        <f t="shared" si="13"/>
        <v>4083156</v>
      </c>
      <c r="I288" s="1">
        <f t="shared" si="14"/>
        <v>12373.2</v>
      </c>
    </row>
    <row r="289" spans="1:9" x14ac:dyDescent="0.3">
      <c r="A289" s="1" t="s">
        <v>306</v>
      </c>
      <c r="B289" s="1" t="s">
        <v>29</v>
      </c>
      <c r="C289" s="1">
        <v>3</v>
      </c>
      <c r="D289" s="1">
        <v>41</v>
      </c>
      <c r="E289" s="1" t="s">
        <v>10</v>
      </c>
      <c r="F289" s="1">
        <v>23326</v>
      </c>
      <c r="G289" s="1" t="str">
        <f t="shared" si="12"/>
        <v>Low Stock</v>
      </c>
      <c r="H289" s="1">
        <f t="shared" si="13"/>
        <v>69978</v>
      </c>
      <c r="I289" s="1">
        <f t="shared" si="14"/>
        <v>4665.2</v>
      </c>
    </row>
    <row r="290" spans="1:9" x14ac:dyDescent="0.3">
      <c r="A290" s="1" t="s">
        <v>307</v>
      </c>
      <c r="B290" s="1" t="s">
        <v>20</v>
      </c>
      <c r="C290" s="1">
        <v>13</v>
      </c>
      <c r="D290" s="1">
        <v>14</v>
      </c>
      <c r="E290" s="1" t="s">
        <v>16</v>
      </c>
      <c r="F290" s="1">
        <v>50898</v>
      </c>
      <c r="G290" s="1" t="str">
        <f t="shared" si="12"/>
        <v>Low Stock</v>
      </c>
      <c r="H290" s="1">
        <f t="shared" si="13"/>
        <v>661674</v>
      </c>
      <c r="I290" s="1">
        <f t="shared" si="14"/>
        <v>10179.6</v>
      </c>
    </row>
    <row r="291" spans="1:9" x14ac:dyDescent="0.3">
      <c r="A291" s="1" t="s">
        <v>308</v>
      </c>
      <c r="B291" s="1" t="s">
        <v>18</v>
      </c>
      <c r="C291" s="1">
        <v>189</v>
      </c>
      <c r="D291" s="1">
        <v>25</v>
      </c>
      <c r="E291" s="1" t="s">
        <v>8</v>
      </c>
      <c r="F291" s="1">
        <v>70756</v>
      </c>
      <c r="G291" s="1" t="str">
        <f t="shared" si="12"/>
        <v>Sufficient</v>
      </c>
      <c r="H291" s="1">
        <f t="shared" si="13"/>
        <v>13372884</v>
      </c>
      <c r="I291" s="1">
        <f t="shared" si="14"/>
        <v>14151.2</v>
      </c>
    </row>
    <row r="292" spans="1:9" x14ac:dyDescent="0.3">
      <c r="A292" s="1" t="s">
        <v>309</v>
      </c>
      <c r="B292" s="1" t="s">
        <v>20</v>
      </c>
      <c r="C292" s="1">
        <v>102</v>
      </c>
      <c r="D292" s="1">
        <v>19</v>
      </c>
      <c r="E292" s="1" t="s">
        <v>10</v>
      </c>
      <c r="F292" s="1">
        <v>79302</v>
      </c>
      <c r="G292" s="1" t="str">
        <f t="shared" si="12"/>
        <v>Sufficient</v>
      </c>
      <c r="H292" s="1">
        <f t="shared" si="13"/>
        <v>8088804</v>
      </c>
      <c r="I292" s="1">
        <f t="shared" si="14"/>
        <v>15860.400000000001</v>
      </c>
    </row>
    <row r="293" spans="1:9" x14ac:dyDescent="0.3">
      <c r="A293" s="1" t="s">
        <v>310</v>
      </c>
      <c r="B293" s="1" t="s">
        <v>29</v>
      </c>
      <c r="C293" s="1">
        <v>31</v>
      </c>
      <c r="D293" s="1">
        <v>42</v>
      </c>
      <c r="E293" s="1" t="s">
        <v>10</v>
      </c>
      <c r="F293" s="1">
        <v>40122</v>
      </c>
      <c r="G293" s="1" t="str">
        <f t="shared" si="12"/>
        <v>Low Stock</v>
      </c>
      <c r="H293" s="1">
        <f t="shared" si="13"/>
        <v>1243782</v>
      </c>
      <c r="I293" s="1">
        <f t="shared" si="14"/>
        <v>8024.4000000000005</v>
      </c>
    </row>
    <row r="294" spans="1:9" x14ac:dyDescent="0.3">
      <c r="A294" s="1" t="s">
        <v>311</v>
      </c>
      <c r="B294" s="1" t="s">
        <v>15</v>
      </c>
      <c r="C294" s="1">
        <v>178</v>
      </c>
      <c r="D294" s="1">
        <v>48</v>
      </c>
      <c r="E294" s="1" t="s">
        <v>26</v>
      </c>
      <c r="F294" s="1">
        <v>1119</v>
      </c>
      <c r="G294" s="1" t="str">
        <f t="shared" si="12"/>
        <v>Sufficient</v>
      </c>
      <c r="H294" s="1">
        <f t="shared" si="13"/>
        <v>199182</v>
      </c>
      <c r="I294" s="1">
        <f t="shared" si="14"/>
        <v>223.8</v>
      </c>
    </row>
    <row r="295" spans="1:9" x14ac:dyDescent="0.3">
      <c r="A295" s="1" t="s">
        <v>312</v>
      </c>
      <c r="B295" s="1" t="s">
        <v>18</v>
      </c>
      <c r="C295" s="1">
        <v>179</v>
      </c>
      <c r="D295" s="1">
        <v>26</v>
      </c>
      <c r="E295" s="1" t="s">
        <v>10</v>
      </c>
      <c r="F295" s="1">
        <v>6525</v>
      </c>
      <c r="G295" s="1" t="str">
        <f t="shared" si="12"/>
        <v>Sufficient</v>
      </c>
      <c r="H295" s="1">
        <f t="shared" si="13"/>
        <v>1167975</v>
      </c>
      <c r="I295" s="1">
        <f t="shared" si="14"/>
        <v>1305</v>
      </c>
    </row>
    <row r="296" spans="1:9" x14ac:dyDescent="0.3">
      <c r="A296" s="1" t="s">
        <v>313</v>
      </c>
      <c r="B296" s="1" t="s">
        <v>12</v>
      </c>
      <c r="C296" s="1">
        <v>8</v>
      </c>
      <c r="D296" s="1">
        <v>45</v>
      </c>
      <c r="E296" s="1" t="s">
        <v>10</v>
      </c>
      <c r="F296" s="1">
        <v>19376</v>
      </c>
      <c r="G296" s="1" t="str">
        <f t="shared" si="12"/>
        <v>Low Stock</v>
      </c>
      <c r="H296" s="1">
        <f t="shared" si="13"/>
        <v>155008</v>
      </c>
      <c r="I296" s="1">
        <f t="shared" si="14"/>
        <v>3875.2000000000003</v>
      </c>
    </row>
    <row r="297" spans="1:9" x14ac:dyDescent="0.3">
      <c r="A297" s="1" t="s">
        <v>314</v>
      </c>
      <c r="B297" s="1" t="s">
        <v>23</v>
      </c>
      <c r="C297" s="1">
        <v>135</v>
      </c>
      <c r="D297" s="1">
        <v>29</v>
      </c>
      <c r="E297" s="1" t="s">
        <v>16</v>
      </c>
      <c r="F297" s="1">
        <v>70089</v>
      </c>
      <c r="G297" s="1" t="str">
        <f t="shared" si="12"/>
        <v>Sufficient</v>
      </c>
      <c r="H297" s="1">
        <f t="shared" si="13"/>
        <v>9462015</v>
      </c>
      <c r="I297" s="1">
        <f t="shared" si="14"/>
        <v>14017.800000000001</v>
      </c>
    </row>
    <row r="298" spans="1:9" x14ac:dyDescent="0.3">
      <c r="A298" s="1" t="s">
        <v>315</v>
      </c>
      <c r="B298" s="1" t="s">
        <v>7</v>
      </c>
      <c r="C298" s="1">
        <v>141</v>
      </c>
      <c r="D298" s="1">
        <v>22</v>
      </c>
      <c r="E298" s="1" t="s">
        <v>13</v>
      </c>
      <c r="F298" s="1">
        <v>51161</v>
      </c>
      <c r="G298" s="1" t="str">
        <f t="shared" si="12"/>
        <v>Sufficient</v>
      </c>
      <c r="H298" s="1">
        <f t="shared" si="13"/>
        <v>7213701</v>
      </c>
      <c r="I298" s="1">
        <f t="shared" si="14"/>
        <v>10232.200000000001</v>
      </c>
    </row>
    <row r="299" spans="1:9" x14ac:dyDescent="0.3">
      <c r="A299" s="1" t="s">
        <v>316</v>
      </c>
      <c r="B299" s="1" t="s">
        <v>15</v>
      </c>
      <c r="C299" s="1">
        <v>123</v>
      </c>
      <c r="D299" s="1">
        <v>22</v>
      </c>
      <c r="E299" s="1" t="s">
        <v>10</v>
      </c>
      <c r="F299" s="1">
        <v>41553</v>
      </c>
      <c r="G299" s="1" t="str">
        <f t="shared" si="12"/>
        <v>Sufficient</v>
      </c>
      <c r="H299" s="1">
        <f t="shared" si="13"/>
        <v>5111019</v>
      </c>
      <c r="I299" s="1">
        <f t="shared" si="14"/>
        <v>8310.6</v>
      </c>
    </row>
    <row r="300" spans="1:9" x14ac:dyDescent="0.3">
      <c r="A300" s="1" t="s">
        <v>317</v>
      </c>
      <c r="B300" s="1" t="s">
        <v>20</v>
      </c>
      <c r="C300" s="1">
        <v>122</v>
      </c>
      <c r="D300" s="1">
        <v>37</v>
      </c>
      <c r="E300" s="1" t="s">
        <v>13</v>
      </c>
      <c r="F300" s="1">
        <v>67007</v>
      </c>
      <c r="G300" s="1" t="str">
        <f t="shared" si="12"/>
        <v>Sufficient</v>
      </c>
      <c r="H300" s="1">
        <f t="shared" si="13"/>
        <v>8174854</v>
      </c>
      <c r="I300" s="1">
        <f t="shared" si="14"/>
        <v>13401.400000000001</v>
      </c>
    </row>
    <row r="301" spans="1:9" x14ac:dyDescent="0.3">
      <c r="A301" s="1" t="s">
        <v>318</v>
      </c>
      <c r="B301" s="1" t="s">
        <v>15</v>
      </c>
      <c r="C301" s="1">
        <v>199</v>
      </c>
      <c r="D301" s="1">
        <v>44</v>
      </c>
      <c r="E301" s="1" t="s">
        <v>16</v>
      </c>
      <c r="F301" s="1">
        <v>57582</v>
      </c>
      <c r="G301" s="1" t="str">
        <f t="shared" si="12"/>
        <v>Sufficient</v>
      </c>
      <c r="H301" s="1">
        <f t="shared" si="13"/>
        <v>11458818</v>
      </c>
      <c r="I301" s="1">
        <f t="shared" si="14"/>
        <v>11516.400000000001</v>
      </c>
    </row>
    <row r="302" spans="1:9" x14ac:dyDescent="0.3">
      <c r="A302" s="1" t="s">
        <v>319</v>
      </c>
      <c r="B302" s="1" t="s">
        <v>12</v>
      </c>
      <c r="C302" s="1">
        <v>182</v>
      </c>
      <c r="D302" s="1">
        <v>35</v>
      </c>
      <c r="E302" s="1" t="s">
        <v>26</v>
      </c>
      <c r="F302" s="1">
        <v>54889</v>
      </c>
      <c r="G302" s="1" t="str">
        <f t="shared" si="12"/>
        <v>Sufficient</v>
      </c>
      <c r="H302" s="1">
        <f t="shared" si="13"/>
        <v>9989798</v>
      </c>
      <c r="I302" s="1">
        <f t="shared" si="14"/>
        <v>10977.800000000001</v>
      </c>
    </row>
    <row r="303" spans="1:9" x14ac:dyDescent="0.3">
      <c r="A303" s="1" t="s">
        <v>320</v>
      </c>
      <c r="B303" s="1" t="s">
        <v>7</v>
      </c>
      <c r="C303" s="1">
        <v>133</v>
      </c>
      <c r="D303" s="1">
        <v>27</v>
      </c>
      <c r="E303" s="1" t="s">
        <v>26</v>
      </c>
      <c r="F303" s="1">
        <v>72071</v>
      </c>
      <c r="G303" s="1" t="str">
        <f t="shared" si="12"/>
        <v>Sufficient</v>
      </c>
      <c r="H303" s="1">
        <f t="shared" si="13"/>
        <v>9585443</v>
      </c>
      <c r="I303" s="1">
        <f t="shared" si="14"/>
        <v>14414.2</v>
      </c>
    </row>
    <row r="304" spans="1:9" x14ac:dyDescent="0.3">
      <c r="A304" s="1" t="s">
        <v>321</v>
      </c>
      <c r="B304" s="1" t="s">
        <v>12</v>
      </c>
      <c r="C304" s="1">
        <v>168</v>
      </c>
      <c r="D304" s="1">
        <v>49</v>
      </c>
      <c r="E304" s="1" t="s">
        <v>8</v>
      </c>
      <c r="F304" s="1">
        <v>66704</v>
      </c>
      <c r="G304" s="1" t="str">
        <f t="shared" si="12"/>
        <v>Sufficient</v>
      </c>
      <c r="H304" s="1">
        <f t="shared" si="13"/>
        <v>11206272</v>
      </c>
      <c r="I304" s="1">
        <f t="shared" si="14"/>
        <v>13340.800000000001</v>
      </c>
    </row>
    <row r="305" spans="1:9" x14ac:dyDescent="0.3">
      <c r="A305" s="1" t="s">
        <v>322</v>
      </c>
      <c r="B305" s="1" t="s">
        <v>23</v>
      </c>
      <c r="C305" s="1">
        <v>113</v>
      </c>
      <c r="D305" s="1">
        <v>37</v>
      </c>
      <c r="E305" s="1" t="s">
        <v>13</v>
      </c>
      <c r="F305" s="1">
        <v>79875</v>
      </c>
      <c r="G305" s="1" t="str">
        <f t="shared" si="12"/>
        <v>Sufficient</v>
      </c>
      <c r="H305" s="1">
        <f t="shared" si="13"/>
        <v>9025875</v>
      </c>
      <c r="I305" s="1">
        <f t="shared" si="14"/>
        <v>15975</v>
      </c>
    </row>
    <row r="306" spans="1:9" x14ac:dyDescent="0.3">
      <c r="A306" s="1" t="s">
        <v>323</v>
      </c>
      <c r="B306" s="1" t="s">
        <v>23</v>
      </c>
      <c r="C306" s="1">
        <v>31</v>
      </c>
      <c r="D306" s="1">
        <v>32</v>
      </c>
      <c r="E306" s="1" t="s">
        <v>26</v>
      </c>
      <c r="F306" s="1">
        <v>36409</v>
      </c>
      <c r="G306" s="1" t="str">
        <f t="shared" si="12"/>
        <v>Low Stock</v>
      </c>
      <c r="H306" s="1">
        <f t="shared" si="13"/>
        <v>1128679</v>
      </c>
      <c r="I306" s="1">
        <f t="shared" si="14"/>
        <v>7281.8</v>
      </c>
    </row>
    <row r="307" spans="1:9" x14ac:dyDescent="0.3">
      <c r="A307" s="1" t="s">
        <v>324</v>
      </c>
      <c r="B307" s="1" t="s">
        <v>18</v>
      </c>
      <c r="C307" s="1">
        <v>62</v>
      </c>
      <c r="D307" s="1">
        <v>50</v>
      </c>
      <c r="E307" s="1" t="s">
        <v>16</v>
      </c>
      <c r="F307" s="1">
        <v>28376</v>
      </c>
      <c r="G307" s="1" t="str">
        <f t="shared" si="12"/>
        <v>Sufficient</v>
      </c>
      <c r="H307" s="1">
        <f t="shared" si="13"/>
        <v>1759312</v>
      </c>
      <c r="I307" s="1">
        <f t="shared" si="14"/>
        <v>5675.2000000000007</v>
      </c>
    </row>
    <row r="308" spans="1:9" x14ac:dyDescent="0.3">
      <c r="A308" s="1" t="s">
        <v>325</v>
      </c>
      <c r="B308" s="1" t="s">
        <v>25</v>
      </c>
      <c r="C308" s="1">
        <v>196</v>
      </c>
      <c r="D308" s="1">
        <v>10</v>
      </c>
      <c r="E308" s="1" t="s">
        <v>26</v>
      </c>
      <c r="F308" s="1">
        <v>75695</v>
      </c>
      <c r="G308" s="1" t="str">
        <f t="shared" si="12"/>
        <v>Sufficient</v>
      </c>
      <c r="H308" s="1">
        <f t="shared" si="13"/>
        <v>14836220</v>
      </c>
      <c r="I308" s="1">
        <f t="shared" si="14"/>
        <v>15139</v>
      </c>
    </row>
    <row r="309" spans="1:9" x14ac:dyDescent="0.3">
      <c r="A309" s="1" t="s">
        <v>326</v>
      </c>
      <c r="B309" s="1" t="s">
        <v>15</v>
      </c>
      <c r="C309" s="1">
        <v>68</v>
      </c>
      <c r="D309" s="1">
        <v>23</v>
      </c>
      <c r="E309" s="1" t="s">
        <v>8</v>
      </c>
      <c r="F309" s="1">
        <v>39718</v>
      </c>
      <c r="G309" s="1" t="str">
        <f t="shared" si="12"/>
        <v>Sufficient</v>
      </c>
      <c r="H309" s="1">
        <f t="shared" si="13"/>
        <v>2700824</v>
      </c>
      <c r="I309" s="1">
        <f t="shared" si="14"/>
        <v>7943.6</v>
      </c>
    </row>
    <row r="310" spans="1:9" x14ac:dyDescent="0.3">
      <c r="A310" s="1" t="s">
        <v>327</v>
      </c>
      <c r="B310" s="1" t="s">
        <v>29</v>
      </c>
      <c r="C310" s="1">
        <v>84</v>
      </c>
      <c r="D310" s="1">
        <v>16</v>
      </c>
      <c r="E310" s="1" t="s">
        <v>13</v>
      </c>
      <c r="F310" s="1">
        <v>49473</v>
      </c>
      <c r="G310" s="1" t="str">
        <f t="shared" si="12"/>
        <v>Sufficient</v>
      </c>
      <c r="H310" s="1">
        <f t="shared" si="13"/>
        <v>4155732</v>
      </c>
      <c r="I310" s="1">
        <f t="shared" si="14"/>
        <v>9894.6</v>
      </c>
    </row>
    <row r="311" spans="1:9" x14ac:dyDescent="0.3">
      <c r="A311" s="1" t="s">
        <v>328</v>
      </c>
      <c r="B311" s="1" t="s">
        <v>29</v>
      </c>
      <c r="C311" s="1">
        <v>73</v>
      </c>
      <c r="D311" s="1">
        <v>29</v>
      </c>
      <c r="E311" s="1" t="s">
        <v>26</v>
      </c>
      <c r="F311" s="1">
        <v>63257</v>
      </c>
      <c r="G311" s="1" t="str">
        <f t="shared" si="12"/>
        <v>Sufficient</v>
      </c>
      <c r="H311" s="1">
        <f t="shared" si="13"/>
        <v>4617761</v>
      </c>
      <c r="I311" s="1">
        <f t="shared" si="14"/>
        <v>12651.400000000001</v>
      </c>
    </row>
    <row r="312" spans="1:9" x14ac:dyDescent="0.3">
      <c r="A312" s="1" t="s">
        <v>329</v>
      </c>
      <c r="B312" s="1" t="s">
        <v>20</v>
      </c>
      <c r="C312" s="1">
        <v>5</v>
      </c>
      <c r="D312" s="1">
        <v>24</v>
      </c>
      <c r="E312" s="1" t="s">
        <v>8</v>
      </c>
      <c r="F312" s="1">
        <v>70622</v>
      </c>
      <c r="G312" s="1" t="str">
        <f t="shared" si="12"/>
        <v>Low Stock</v>
      </c>
      <c r="H312" s="1">
        <f t="shared" si="13"/>
        <v>353110</v>
      </c>
      <c r="I312" s="1">
        <f t="shared" si="14"/>
        <v>14124.400000000001</v>
      </c>
    </row>
    <row r="313" spans="1:9" x14ac:dyDescent="0.3">
      <c r="A313" s="1" t="s">
        <v>330</v>
      </c>
      <c r="B313" s="1" t="s">
        <v>12</v>
      </c>
      <c r="C313" s="1">
        <v>113</v>
      </c>
      <c r="D313" s="1">
        <v>17</v>
      </c>
      <c r="E313" s="1" t="s">
        <v>13</v>
      </c>
      <c r="F313" s="1">
        <v>23834</v>
      </c>
      <c r="G313" s="1" t="str">
        <f t="shared" si="12"/>
        <v>Sufficient</v>
      </c>
      <c r="H313" s="1">
        <f t="shared" si="13"/>
        <v>2693242</v>
      </c>
      <c r="I313" s="1">
        <f t="shared" si="14"/>
        <v>4766.8</v>
      </c>
    </row>
    <row r="314" spans="1:9" x14ac:dyDescent="0.3">
      <c r="A314" s="1" t="s">
        <v>331</v>
      </c>
      <c r="B314" s="1" t="s">
        <v>25</v>
      </c>
      <c r="C314" s="1">
        <v>105</v>
      </c>
      <c r="D314" s="1">
        <v>33</v>
      </c>
      <c r="E314" s="1" t="s">
        <v>8</v>
      </c>
      <c r="F314" s="1">
        <v>50801</v>
      </c>
      <c r="G314" s="1" t="str">
        <f t="shared" si="12"/>
        <v>Sufficient</v>
      </c>
      <c r="H314" s="1">
        <f t="shared" si="13"/>
        <v>5334105</v>
      </c>
      <c r="I314" s="1">
        <f t="shared" si="14"/>
        <v>10160.200000000001</v>
      </c>
    </row>
    <row r="315" spans="1:9" x14ac:dyDescent="0.3">
      <c r="A315" s="1" t="s">
        <v>332</v>
      </c>
      <c r="B315" s="1" t="s">
        <v>12</v>
      </c>
      <c r="C315" s="1">
        <v>166</v>
      </c>
      <c r="D315" s="1">
        <v>41</v>
      </c>
      <c r="E315" s="1" t="s">
        <v>16</v>
      </c>
      <c r="F315" s="1">
        <v>57760</v>
      </c>
      <c r="G315" s="1" t="str">
        <f t="shared" si="12"/>
        <v>Sufficient</v>
      </c>
      <c r="H315" s="1">
        <f t="shared" si="13"/>
        <v>9588160</v>
      </c>
      <c r="I315" s="1">
        <f t="shared" si="14"/>
        <v>11552</v>
      </c>
    </row>
    <row r="316" spans="1:9" x14ac:dyDescent="0.3">
      <c r="A316" s="1" t="s">
        <v>333</v>
      </c>
      <c r="B316" s="1" t="s">
        <v>20</v>
      </c>
      <c r="C316" s="1">
        <v>194</v>
      </c>
      <c r="D316" s="1">
        <v>16</v>
      </c>
      <c r="E316" s="1" t="s">
        <v>16</v>
      </c>
      <c r="F316" s="1">
        <v>64060</v>
      </c>
      <c r="G316" s="1" t="str">
        <f t="shared" si="12"/>
        <v>Sufficient</v>
      </c>
      <c r="H316" s="1">
        <f t="shared" si="13"/>
        <v>12427640</v>
      </c>
      <c r="I316" s="1">
        <f t="shared" si="14"/>
        <v>12812</v>
      </c>
    </row>
    <row r="317" spans="1:9" x14ac:dyDescent="0.3">
      <c r="A317" s="1" t="s">
        <v>334</v>
      </c>
      <c r="B317" s="1" t="s">
        <v>25</v>
      </c>
      <c r="C317" s="1">
        <v>68</v>
      </c>
      <c r="D317" s="1">
        <v>37</v>
      </c>
      <c r="E317" s="1" t="s">
        <v>26</v>
      </c>
      <c r="F317" s="1">
        <v>21515</v>
      </c>
      <c r="G317" s="1" t="str">
        <f t="shared" si="12"/>
        <v>Sufficient</v>
      </c>
      <c r="H317" s="1">
        <f t="shared" si="13"/>
        <v>1463020</v>
      </c>
      <c r="I317" s="1">
        <f t="shared" si="14"/>
        <v>4303</v>
      </c>
    </row>
    <row r="318" spans="1:9" x14ac:dyDescent="0.3">
      <c r="A318" s="1" t="s">
        <v>335</v>
      </c>
      <c r="B318" s="1" t="s">
        <v>25</v>
      </c>
      <c r="C318" s="1">
        <v>158</v>
      </c>
      <c r="D318" s="1">
        <v>46</v>
      </c>
      <c r="E318" s="1" t="s">
        <v>26</v>
      </c>
      <c r="F318" s="1">
        <v>35659</v>
      </c>
      <c r="G318" s="1" t="str">
        <f t="shared" si="12"/>
        <v>Sufficient</v>
      </c>
      <c r="H318" s="1">
        <f t="shared" si="13"/>
        <v>5634122</v>
      </c>
      <c r="I318" s="1">
        <f t="shared" si="14"/>
        <v>7131.8</v>
      </c>
    </row>
    <row r="319" spans="1:9" x14ac:dyDescent="0.3">
      <c r="A319" s="1" t="s">
        <v>336</v>
      </c>
      <c r="B319" s="1" t="s">
        <v>7</v>
      </c>
      <c r="C319" s="1">
        <v>142</v>
      </c>
      <c r="D319" s="1">
        <v>36</v>
      </c>
      <c r="E319" s="1" t="s">
        <v>10</v>
      </c>
      <c r="F319" s="1">
        <v>5708</v>
      </c>
      <c r="G319" s="1" t="str">
        <f t="shared" si="12"/>
        <v>Sufficient</v>
      </c>
      <c r="H319" s="1">
        <f t="shared" si="13"/>
        <v>810536</v>
      </c>
      <c r="I319" s="1">
        <f t="shared" si="14"/>
        <v>1141.6000000000001</v>
      </c>
    </row>
    <row r="320" spans="1:9" x14ac:dyDescent="0.3">
      <c r="A320" s="1" t="s">
        <v>337</v>
      </c>
      <c r="B320" s="1" t="s">
        <v>29</v>
      </c>
      <c r="C320" s="1">
        <v>118</v>
      </c>
      <c r="D320" s="1">
        <v>28</v>
      </c>
      <c r="E320" s="1" t="s">
        <v>8</v>
      </c>
      <c r="F320" s="1">
        <v>11873</v>
      </c>
      <c r="G320" s="1" t="str">
        <f t="shared" si="12"/>
        <v>Sufficient</v>
      </c>
      <c r="H320" s="1">
        <f t="shared" si="13"/>
        <v>1401014</v>
      </c>
      <c r="I320" s="1">
        <f t="shared" si="14"/>
        <v>2374.6</v>
      </c>
    </row>
    <row r="321" spans="1:9" x14ac:dyDescent="0.3">
      <c r="A321" s="1" t="s">
        <v>338</v>
      </c>
      <c r="B321" s="1" t="s">
        <v>25</v>
      </c>
      <c r="C321" s="1">
        <v>65</v>
      </c>
      <c r="D321" s="1">
        <v>10</v>
      </c>
      <c r="E321" s="1" t="s">
        <v>16</v>
      </c>
      <c r="F321" s="1">
        <v>77238</v>
      </c>
      <c r="G321" s="1" t="str">
        <f t="shared" si="12"/>
        <v>Sufficient</v>
      </c>
      <c r="H321" s="1">
        <f t="shared" si="13"/>
        <v>5020470</v>
      </c>
      <c r="I321" s="1">
        <f t="shared" si="14"/>
        <v>15447.6</v>
      </c>
    </row>
    <row r="322" spans="1:9" x14ac:dyDescent="0.3">
      <c r="A322" s="1" t="s">
        <v>339</v>
      </c>
      <c r="B322" s="1" t="s">
        <v>20</v>
      </c>
      <c r="C322" s="1">
        <v>164</v>
      </c>
      <c r="D322" s="1">
        <v>47</v>
      </c>
      <c r="E322" s="1" t="s">
        <v>26</v>
      </c>
      <c r="F322" s="1">
        <v>23168</v>
      </c>
      <c r="G322" s="1" t="str">
        <f t="shared" si="12"/>
        <v>Sufficient</v>
      </c>
      <c r="H322" s="1">
        <f t="shared" si="13"/>
        <v>3799552</v>
      </c>
      <c r="I322" s="1">
        <f t="shared" si="14"/>
        <v>4633.6000000000004</v>
      </c>
    </row>
    <row r="323" spans="1:9" x14ac:dyDescent="0.3">
      <c r="A323" s="1" t="s">
        <v>340</v>
      </c>
      <c r="B323" s="1" t="s">
        <v>18</v>
      </c>
      <c r="C323" s="1">
        <v>11</v>
      </c>
      <c r="D323" s="1">
        <v>29</v>
      </c>
      <c r="E323" s="1" t="s">
        <v>26</v>
      </c>
      <c r="F323" s="1">
        <v>52680</v>
      </c>
      <c r="G323" s="1" t="str">
        <f t="shared" ref="G323:G386" si="15">IF(C323=0,"Pending",IF(C323&lt;=D323,"Low Stock", "Sufficient"))</f>
        <v>Low Stock</v>
      </c>
      <c r="H323" s="1">
        <f t="shared" ref="H323:H386" si="16">C323*F323</f>
        <v>579480</v>
      </c>
      <c r="I323" s="1">
        <f t="shared" ref="I323:I386" si="17">F323*0.2</f>
        <v>10536</v>
      </c>
    </row>
    <row r="324" spans="1:9" x14ac:dyDescent="0.3">
      <c r="A324" s="1" t="s">
        <v>341</v>
      </c>
      <c r="B324" s="1" t="s">
        <v>23</v>
      </c>
      <c r="C324" s="1">
        <v>72</v>
      </c>
      <c r="D324" s="1">
        <v>44</v>
      </c>
      <c r="E324" s="1" t="s">
        <v>16</v>
      </c>
      <c r="F324" s="1">
        <v>42452</v>
      </c>
      <c r="G324" s="1" t="str">
        <f t="shared" si="15"/>
        <v>Sufficient</v>
      </c>
      <c r="H324" s="1">
        <f t="shared" si="16"/>
        <v>3056544</v>
      </c>
      <c r="I324" s="1">
        <f t="shared" si="17"/>
        <v>8490.4</v>
      </c>
    </row>
    <row r="325" spans="1:9" x14ac:dyDescent="0.3">
      <c r="A325" s="1" t="s">
        <v>342</v>
      </c>
      <c r="B325" s="1" t="s">
        <v>25</v>
      </c>
      <c r="C325" s="1">
        <v>98</v>
      </c>
      <c r="D325" s="1">
        <v>39</v>
      </c>
      <c r="E325" s="1" t="s">
        <v>8</v>
      </c>
      <c r="F325" s="1">
        <v>53028</v>
      </c>
      <c r="G325" s="1" t="str">
        <f t="shared" si="15"/>
        <v>Sufficient</v>
      </c>
      <c r="H325" s="1">
        <f t="shared" si="16"/>
        <v>5196744</v>
      </c>
      <c r="I325" s="1">
        <f t="shared" si="17"/>
        <v>10605.6</v>
      </c>
    </row>
    <row r="326" spans="1:9" x14ac:dyDescent="0.3">
      <c r="A326" s="1" t="s">
        <v>343</v>
      </c>
      <c r="B326" s="1" t="s">
        <v>29</v>
      </c>
      <c r="C326" s="1">
        <v>99</v>
      </c>
      <c r="D326" s="1">
        <v>14</v>
      </c>
      <c r="E326" s="1" t="s">
        <v>8</v>
      </c>
      <c r="F326" s="1">
        <v>20386</v>
      </c>
      <c r="G326" s="1" t="str">
        <f t="shared" si="15"/>
        <v>Sufficient</v>
      </c>
      <c r="H326" s="1">
        <f t="shared" si="16"/>
        <v>2018214</v>
      </c>
      <c r="I326" s="1">
        <f t="shared" si="17"/>
        <v>4077.2000000000003</v>
      </c>
    </row>
    <row r="327" spans="1:9" x14ac:dyDescent="0.3">
      <c r="A327" s="1" t="s">
        <v>344</v>
      </c>
      <c r="B327" s="1" t="s">
        <v>20</v>
      </c>
      <c r="C327" s="1">
        <v>52</v>
      </c>
      <c r="D327" s="1">
        <v>40</v>
      </c>
      <c r="E327" s="1" t="s">
        <v>26</v>
      </c>
      <c r="F327" s="1">
        <v>66747</v>
      </c>
      <c r="G327" s="1" t="str">
        <f t="shared" si="15"/>
        <v>Sufficient</v>
      </c>
      <c r="H327" s="1">
        <f t="shared" si="16"/>
        <v>3470844</v>
      </c>
      <c r="I327" s="1">
        <f t="shared" si="17"/>
        <v>13349.400000000001</v>
      </c>
    </row>
    <row r="328" spans="1:9" x14ac:dyDescent="0.3">
      <c r="A328" s="1" t="s">
        <v>345</v>
      </c>
      <c r="B328" s="1" t="s">
        <v>12</v>
      </c>
      <c r="C328" s="1">
        <v>171</v>
      </c>
      <c r="D328" s="1">
        <v>10</v>
      </c>
      <c r="E328" s="1" t="s">
        <v>8</v>
      </c>
      <c r="F328" s="1">
        <v>52215</v>
      </c>
      <c r="G328" s="1" t="str">
        <f t="shared" si="15"/>
        <v>Sufficient</v>
      </c>
      <c r="H328" s="1">
        <f t="shared" si="16"/>
        <v>8928765</v>
      </c>
      <c r="I328" s="1">
        <f t="shared" si="17"/>
        <v>10443</v>
      </c>
    </row>
    <row r="329" spans="1:9" x14ac:dyDescent="0.3">
      <c r="A329" s="1" t="s">
        <v>346</v>
      </c>
      <c r="B329" s="1" t="s">
        <v>25</v>
      </c>
      <c r="C329" s="1">
        <v>116</v>
      </c>
      <c r="D329" s="1">
        <v>40</v>
      </c>
      <c r="E329" s="1" t="s">
        <v>26</v>
      </c>
      <c r="F329" s="1">
        <v>60680</v>
      </c>
      <c r="G329" s="1" t="str">
        <f t="shared" si="15"/>
        <v>Sufficient</v>
      </c>
      <c r="H329" s="1">
        <f t="shared" si="16"/>
        <v>7038880</v>
      </c>
      <c r="I329" s="1">
        <f t="shared" si="17"/>
        <v>12136</v>
      </c>
    </row>
    <row r="330" spans="1:9" x14ac:dyDescent="0.3">
      <c r="A330" s="1" t="s">
        <v>347</v>
      </c>
      <c r="B330" s="1" t="s">
        <v>23</v>
      </c>
      <c r="C330" s="1">
        <v>70</v>
      </c>
      <c r="D330" s="1">
        <v>19</v>
      </c>
      <c r="E330" s="1" t="s">
        <v>10</v>
      </c>
      <c r="F330" s="1">
        <v>4042</v>
      </c>
      <c r="G330" s="1" t="str">
        <f t="shared" si="15"/>
        <v>Sufficient</v>
      </c>
      <c r="H330" s="1">
        <f t="shared" si="16"/>
        <v>282940</v>
      </c>
      <c r="I330" s="1">
        <f t="shared" si="17"/>
        <v>808.40000000000009</v>
      </c>
    </row>
    <row r="331" spans="1:9" x14ac:dyDescent="0.3">
      <c r="A331" s="1" t="s">
        <v>348</v>
      </c>
      <c r="B331" s="1" t="s">
        <v>18</v>
      </c>
      <c r="C331" s="1">
        <v>129</v>
      </c>
      <c r="D331" s="1">
        <v>23</v>
      </c>
      <c r="E331" s="1" t="s">
        <v>16</v>
      </c>
      <c r="F331" s="1">
        <v>68061</v>
      </c>
      <c r="G331" s="1" t="str">
        <f t="shared" si="15"/>
        <v>Sufficient</v>
      </c>
      <c r="H331" s="1">
        <f t="shared" si="16"/>
        <v>8779869</v>
      </c>
      <c r="I331" s="1">
        <f t="shared" si="17"/>
        <v>13612.2</v>
      </c>
    </row>
    <row r="332" spans="1:9" x14ac:dyDescent="0.3">
      <c r="A332" s="1" t="s">
        <v>349</v>
      </c>
      <c r="B332" s="1" t="s">
        <v>20</v>
      </c>
      <c r="C332" s="1">
        <v>81</v>
      </c>
      <c r="D332" s="1">
        <v>10</v>
      </c>
      <c r="E332" s="1" t="s">
        <v>8</v>
      </c>
      <c r="F332" s="1">
        <v>46820</v>
      </c>
      <c r="G332" s="1" t="str">
        <f t="shared" si="15"/>
        <v>Sufficient</v>
      </c>
      <c r="H332" s="1">
        <f t="shared" si="16"/>
        <v>3792420</v>
      </c>
      <c r="I332" s="1">
        <f t="shared" si="17"/>
        <v>9364</v>
      </c>
    </row>
    <row r="333" spans="1:9" x14ac:dyDescent="0.3">
      <c r="A333" s="1" t="s">
        <v>350</v>
      </c>
      <c r="B333" s="1" t="s">
        <v>7</v>
      </c>
      <c r="C333" s="1">
        <v>129</v>
      </c>
      <c r="D333" s="1">
        <v>28</v>
      </c>
      <c r="E333" s="1" t="s">
        <v>10</v>
      </c>
      <c r="F333" s="1">
        <v>18228</v>
      </c>
      <c r="G333" s="1" t="str">
        <f t="shared" si="15"/>
        <v>Sufficient</v>
      </c>
      <c r="H333" s="1">
        <f t="shared" si="16"/>
        <v>2351412</v>
      </c>
      <c r="I333" s="1">
        <f t="shared" si="17"/>
        <v>3645.6000000000004</v>
      </c>
    </row>
    <row r="334" spans="1:9" x14ac:dyDescent="0.3">
      <c r="A334" s="1" t="s">
        <v>351</v>
      </c>
      <c r="B334" s="1" t="s">
        <v>20</v>
      </c>
      <c r="C334" s="1">
        <v>62</v>
      </c>
      <c r="D334" s="1">
        <v>11</v>
      </c>
      <c r="E334" s="1" t="s">
        <v>8</v>
      </c>
      <c r="F334" s="1">
        <v>34115</v>
      </c>
      <c r="G334" s="1" t="str">
        <f t="shared" si="15"/>
        <v>Sufficient</v>
      </c>
      <c r="H334" s="1">
        <f t="shared" si="16"/>
        <v>2115130</v>
      </c>
      <c r="I334" s="1">
        <f t="shared" si="17"/>
        <v>6823</v>
      </c>
    </row>
    <row r="335" spans="1:9" x14ac:dyDescent="0.3">
      <c r="A335" s="1" t="s">
        <v>352</v>
      </c>
      <c r="B335" s="1" t="s">
        <v>29</v>
      </c>
      <c r="C335" s="1">
        <v>151</v>
      </c>
      <c r="D335" s="1">
        <v>50</v>
      </c>
      <c r="E335" s="1" t="s">
        <v>8</v>
      </c>
      <c r="F335" s="1">
        <v>6575</v>
      </c>
      <c r="G335" s="1" t="str">
        <f t="shared" si="15"/>
        <v>Sufficient</v>
      </c>
      <c r="H335" s="1">
        <f t="shared" si="16"/>
        <v>992825</v>
      </c>
      <c r="I335" s="1">
        <f t="shared" si="17"/>
        <v>1315</v>
      </c>
    </row>
    <row r="336" spans="1:9" x14ac:dyDescent="0.3">
      <c r="A336" s="1" t="s">
        <v>353</v>
      </c>
      <c r="B336" s="1" t="s">
        <v>23</v>
      </c>
      <c r="C336" s="1">
        <v>61</v>
      </c>
      <c r="D336" s="1">
        <v>34</v>
      </c>
      <c r="E336" s="1" t="s">
        <v>10</v>
      </c>
      <c r="F336" s="1">
        <v>29523</v>
      </c>
      <c r="G336" s="1" t="str">
        <f t="shared" si="15"/>
        <v>Sufficient</v>
      </c>
      <c r="H336" s="1">
        <f t="shared" si="16"/>
        <v>1800903</v>
      </c>
      <c r="I336" s="1">
        <f t="shared" si="17"/>
        <v>5904.6</v>
      </c>
    </row>
    <row r="337" spans="1:9" x14ac:dyDescent="0.3">
      <c r="A337" s="1" t="s">
        <v>354</v>
      </c>
      <c r="B337" s="1" t="s">
        <v>29</v>
      </c>
      <c r="C337" s="1">
        <v>114</v>
      </c>
      <c r="D337" s="1">
        <v>43</v>
      </c>
      <c r="E337" s="1" t="s">
        <v>13</v>
      </c>
      <c r="F337" s="1">
        <v>72895</v>
      </c>
      <c r="G337" s="1" t="str">
        <f t="shared" si="15"/>
        <v>Sufficient</v>
      </c>
      <c r="H337" s="1">
        <f t="shared" si="16"/>
        <v>8310030</v>
      </c>
      <c r="I337" s="1">
        <f t="shared" si="17"/>
        <v>14579</v>
      </c>
    </row>
    <row r="338" spans="1:9" x14ac:dyDescent="0.3">
      <c r="A338" s="1" t="s">
        <v>355</v>
      </c>
      <c r="B338" s="1" t="s">
        <v>12</v>
      </c>
      <c r="C338" s="1">
        <v>96</v>
      </c>
      <c r="D338" s="1">
        <v>35</v>
      </c>
      <c r="E338" s="1" t="s">
        <v>8</v>
      </c>
      <c r="F338" s="1">
        <v>58489</v>
      </c>
      <c r="G338" s="1" t="str">
        <f t="shared" si="15"/>
        <v>Sufficient</v>
      </c>
      <c r="H338" s="1">
        <f t="shared" si="16"/>
        <v>5614944</v>
      </c>
      <c r="I338" s="1">
        <f t="shared" si="17"/>
        <v>11697.800000000001</v>
      </c>
    </row>
    <row r="339" spans="1:9" x14ac:dyDescent="0.3">
      <c r="A339" s="1" t="s">
        <v>356</v>
      </c>
      <c r="B339" s="1" t="s">
        <v>18</v>
      </c>
      <c r="C339" s="1">
        <v>94</v>
      </c>
      <c r="D339" s="1">
        <v>27</v>
      </c>
      <c r="E339" s="1" t="s">
        <v>26</v>
      </c>
      <c r="F339" s="1">
        <v>78429</v>
      </c>
      <c r="G339" s="1" t="str">
        <f t="shared" si="15"/>
        <v>Sufficient</v>
      </c>
      <c r="H339" s="1">
        <f t="shared" si="16"/>
        <v>7372326</v>
      </c>
      <c r="I339" s="1">
        <f t="shared" si="17"/>
        <v>15685.800000000001</v>
      </c>
    </row>
    <row r="340" spans="1:9" x14ac:dyDescent="0.3">
      <c r="A340" s="1" t="s">
        <v>357</v>
      </c>
      <c r="B340" s="1" t="s">
        <v>20</v>
      </c>
      <c r="C340" s="1">
        <v>74</v>
      </c>
      <c r="D340" s="1">
        <v>38</v>
      </c>
      <c r="E340" s="1" t="s">
        <v>16</v>
      </c>
      <c r="F340" s="1">
        <v>68619</v>
      </c>
      <c r="G340" s="1" t="str">
        <f t="shared" si="15"/>
        <v>Sufficient</v>
      </c>
      <c r="H340" s="1">
        <f t="shared" si="16"/>
        <v>5077806</v>
      </c>
      <c r="I340" s="1">
        <f t="shared" si="17"/>
        <v>13723.800000000001</v>
      </c>
    </row>
    <row r="341" spans="1:9" x14ac:dyDescent="0.3">
      <c r="A341" s="1" t="s">
        <v>358</v>
      </c>
      <c r="B341" s="1" t="s">
        <v>12</v>
      </c>
      <c r="C341" s="1">
        <v>41</v>
      </c>
      <c r="D341" s="1">
        <v>19</v>
      </c>
      <c r="E341" s="1" t="s">
        <v>16</v>
      </c>
      <c r="F341" s="1">
        <v>24072</v>
      </c>
      <c r="G341" s="1" t="str">
        <f t="shared" si="15"/>
        <v>Sufficient</v>
      </c>
      <c r="H341" s="1">
        <f t="shared" si="16"/>
        <v>986952</v>
      </c>
      <c r="I341" s="1">
        <f t="shared" si="17"/>
        <v>4814.4000000000005</v>
      </c>
    </row>
    <row r="342" spans="1:9" x14ac:dyDescent="0.3">
      <c r="A342" s="1" t="s">
        <v>359</v>
      </c>
      <c r="B342" s="1" t="s">
        <v>23</v>
      </c>
      <c r="C342" s="1">
        <v>152</v>
      </c>
      <c r="D342" s="1">
        <v>50</v>
      </c>
      <c r="E342" s="1" t="s">
        <v>10</v>
      </c>
      <c r="F342" s="1">
        <v>34077</v>
      </c>
      <c r="G342" s="1" t="str">
        <f t="shared" si="15"/>
        <v>Sufficient</v>
      </c>
      <c r="H342" s="1">
        <f t="shared" si="16"/>
        <v>5179704</v>
      </c>
      <c r="I342" s="1">
        <f t="shared" si="17"/>
        <v>6815.4000000000005</v>
      </c>
    </row>
    <row r="343" spans="1:9" x14ac:dyDescent="0.3">
      <c r="A343" s="1" t="s">
        <v>360</v>
      </c>
      <c r="B343" s="1" t="s">
        <v>18</v>
      </c>
      <c r="C343" s="1">
        <v>131</v>
      </c>
      <c r="D343" s="1">
        <v>19</v>
      </c>
      <c r="E343" s="1" t="s">
        <v>10</v>
      </c>
      <c r="F343" s="1">
        <v>30909</v>
      </c>
      <c r="G343" s="1" t="str">
        <f t="shared" si="15"/>
        <v>Sufficient</v>
      </c>
      <c r="H343" s="1">
        <f t="shared" si="16"/>
        <v>4049079</v>
      </c>
      <c r="I343" s="1">
        <f t="shared" si="17"/>
        <v>6181.8</v>
      </c>
    </row>
    <row r="344" spans="1:9" x14ac:dyDescent="0.3">
      <c r="A344" s="1" t="s">
        <v>361</v>
      </c>
      <c r="B344" s="1" t="s">
        <v>25</v>
      </c>
      <c r="C344" s="1">
        <v>112</v>
      </c>
      <c r="D344" s="1">
        <v>45</v>
      </c>
      <c r="E344" s="1" t="s">
        <v>13</v>
      </c>
      <c r="F344" s="1">
        <v>78060</v>
      </c>
      <c r="G344" s="1" t="str">
        <f t="shared" si="15"/>
        <v>Sufficient</v>
      </c>
      <c r="H344" s="1">
        <f t="shared" si="16"/>
        <v>8742720</v>
      </c>
      <c r="I344" s="1">
        <f t="shared" si="17"/>
        <v>15612</v>
      </c>
    </row>
    <row r="345" spans="1:9" x14ac:dyDescent="0.3">
      <c r="A345" s="1" t="s">
        <v>362</v>
      </c>
      <c r="B345" s="1" t="s">
        <v>29</v>
      </c>
      <c r="C345" s="1">
        <v>44</v>
      </c>
      <c r="D345" s="1">
        <v>49</v>
      </c>
      <c r="E345" s="1" t="s">
        <v>26</v>
      </c>
      <c r="F345" s="1">
        <v>69785</v>
      </c>
      <c r="G345" s="1" t="str">
        <f t="shared" si="15"/>
        <v>Low Stock</v>
      </c>
      <c r="H345" s="1">
        <f t="shared" si="16"/>
        <v>3070540</v>
      </c>
      <c r="I345" s="1">
        <f t="shared" si="17"/>
        <v>13957</v>
      </c>
    </row>
    <row r="346" spans="1:9" x14ac:dyDescent="0.3">
      <c r="A346" s="1" t="s">
        <v>363</v>
      </c>
      <c r="B346" s="1" t="s">
        <v>15</v>
      </c>
      <c r="C346" s="1">
        <v>188</v>
      </c>
      <c r="D346" s="1">
        <v>38</v>
      </c>
      <c r="E346" s="1" t="s">
        <v>26</v>
      </c>
      <c r="F346" s="1">
        <v>34085</v>
      </c>
      <c r="G346" s="1" t="str">
        <f t="shared" si="15"/>
        <v>Sufficient</v>
      </c>
      <c r="H346" s="1">
        <f t="shared" si="16"/>
        <v>6407980</v>
      </c>
      <c r="I346" s="1">
        <f t="shared" si="17"/>
        <v>6817</v>
      </c>
    </row>
    <row r="347" spans="1:9" x14ac:dyDescent="0.3">
      <c r="A347" s="1" t="s">
        <v>364</v>
      </c>
      <c r="B347" s="1" t="s">
        <v>12</v>
      </c>
      <c r="C347" s="1">
        <v>21</v>
      </c>
      <c r="D347" s="1">
        <v>17</v>
      </c>
      <c r="E347" s="1" t="s">
        <v>8</v>
      </c>
      <c r="F347" s="1">
        <v>77950</v>
      </c>
      <c r="G347" s="1" t="str">
        <f t="shared" si="15"/>
        <v>Sufficient</v>
      </c>
      <c r="H347" s="1">
        <f t="shared" si="16"/>
        <v>1636950</v>
      </c>
      <c r="I347" s="1">
        <f t="shared" si="17"/>
        <v>15590</v>
      </c>
    </row>
    <row r="348" spans="1:9" x14ac:dyDescent="0.3">
      <c r="A348" s="1" t="s">
        <v>365</v>
      </c>
      <c r="B348" s="1" t="s">
        <v>12</v>
      </c>
      <c r="C348" s="1">
        <v>72</v>
      </c>
      <c r="D348" s="1">
        <v>36</v>
      </c>
      <c r="E348" s="1" t="s">
        <v>8</v>
      </c>
      <c r="F348" s="1">
        <v>70082</v>
      </c>
      <c r="G348" s="1" t="str">
        <f t="shared" si="15"/>
        <v>Sufficient</v>
      </c>
      <c r="H348" s="1">
        <f t="shared" si="16"/>
        <v>5045904</v>
      </c>
      <c r="I348" s="1">
        <f t="shared" si="17"/>
        <v>14016.400000000001</v>
      </c>
    </row>
    <row r="349" spans="1:9" x14ac:dyDescent="0.3">
      <c r="A349" s="1" t="s">
        <v>366</v>
      </c>
      <c r="B349" s="1" t="s">
        <v>12</v>
      </c>
      <c r="C349" s="1">
        <v>119</v>
      </c>
      <c r="D349" s="1">
        <v>48</v>
      </c>
      <c r="E349" s="1" t="s">
        <v>16</v>
      </c>
      <c r="F349" s="1">
        <v>3312</v>
      </c>
      <c r="G349" s="1" t="str">
        <f t="shared" si="15"/>
        <v>Sufficient</v>
      </c>
      <c r="H349" s="1">
        <f t="shared" si="16"/>
        <v>394128</v>
      </c>
      <c r="I349" s="1">
        <f t="shared" si="17"/>
        <v>662.40000000000009</v>
      </c>
    </row>
    <row r="350" spans="1:9" x14ac:dyDescent="0.3">
      <c r="A350" s="1" t="s">
        <v>367</v>
      </c>
      <c r="B350" s="1" t="s">
        <v>15</v>
      </c>
      <c r="C350" s="1">
        <v>87</v>
      </c>
      <c r="D350" s="1">
        <v>18</v>
      </c>
      <c r="E350" s="1" t="s">
        <v>10</v>
      </c>
      <c r="F350" s="1">
        <v>42658</v>
      </c>
      <c r="G350" s="1" t="str">
        <f t="shared" si="15"/>
        <v>Sufficient</v>
      </c>
      <c r="H350" s="1">
        <f t="shared" si="16"/>
        <v>3711246</v>
      </c>
      <c r="I350" s="1">
        <f t="shared" si="17"/>
        <v>8531.6</v>
      </c>
    </row>
    <row r="351" spans="1:9" x14ac:dyDescent="0.3">
      <c r="A351" s="1" t="s">
        <v>368</v>
      </c>
      <c r="B351" s="1" t="s">
        <v>23</v>
      </c>
      <c r="C351" s="1">
        <v>121</v>
      </c>
      <c r="D351" s="1">
        <v>43</v>
      </c>
      <c r="E351" s="1" t="s">
        <v>13</v>
      </c>
      <c r="F351" s="1">
        <v>19018</v>
      </c>
      <c r="G351" s="1" t="str">
        <f t="shared" si="15"/>
        <v>Sufficient</v>
      </c>
      <c r="H351" s="1">
        <f t="shared" si="16"/>
        <v>2301178</v>
      </c>
      <c r="I351" s="1">
        <f t="shared" si="17"/>
        <v>3803.6000000000004</v>
      </c>
    </row>
    <row r="352" spans="1:9" x14ac:dyDescent="0.3">
      <c r="A352" s="1" t="s">
        <v>369</v>
      </c>
      <c r="B352" s="1" t="s">
        <v>12</v>
      </c>
      <c r="C352" s="1">
        <v>153</v>
      </c>
      <c r="D352" s="1">
        <v>41</v>
      </c>
      <c r="E352" s="1" t="s">
        <v>10</v>
      </c>
      <c r="F352" s="1">
        <v>75688</v>
      </c>
      <c r="G352" s="1" t="str">
        <f t="shared" si="15"/>
        <v>Sufficient</v>
      </c>
      <c r="H352" s="1">
        <f t="shared" si="16"/>
        <v>11580264</v>
      </c>
      <c r="I352" s="1">
        <f t="shared" si="17"/>
        <v>15137.6</v>
      </c>
    </row>
    <row r="353" spans="1:9" x14ac:dyDescent="0.3">
      <c r="A353" s="1" t="s">
        <v>370</v>
      </c>
      <c r="B353" s="1" t="s">
        <v>25</v>
      </c>
      <c r="C353" s="1">
        <v>46</v>
      </c>
      <c r="D353" s="1">
        <v>27</v>
      </c>
      <c r="E353" s="1" t="s">
        <v>16</v>
      </c>
      <c r="F353" s="1">
        <v>72890</v>
      </c>
      <c r="G353" s="1" t="str">
        <f t="shared" si="15"/>
        <v>Sufficient</v>
      </c>
      <c r="H353" s="1">
        <f t="shared" si="16"/>
        <v>3352940</v>
      </c>
      <c r="I353" s="1">
        <f t="shared" si="17"/>
        <v>14578</v>
      </c>
    </row>
    <row r="354" spans="1:9" x14ac:dyDescent="0.3">
      <c r="A354" s="1" t="s">
        <v>371</v>
      </c>
      <c r="B354" s="1" t="s">
        <v>25</v>
      </c>
      <c r="C354" s="1">
        <v>143</v>
      </c>
      <c r="D354" s="1">
        <v>41</v>
      </c>
      <c r="E354" s="1" t="s">
        <v>26</v>
      </c>
      <c r="F354" s="1">
        <v>35967</v>
      </c>
      <c r="G354" s="1" t="str">
        <f t="shared" si="15"/>
        <v>Sufficient</v>
      </c>
      <c r="H354" s="1">
        <f t="shared" si="16"/>
        <v>5143281</v>
      </c>
      <c r="I354" s="1">
        <f t="shared" si="17"/>
        <v>7193.4000000000005</v>
      </c>
    </row>
    <row r="355" spans="1:9" x14ac:dyDescent="0.3">
      <c r="A355" s="1" t="s">
        <v>372</v>
      </c>
      <c r="B355" s="1" t="s">
        <v>18</v>
      </c>
      <c r="C355" s="1">
        <v>141</v>
      </c>
      <c r="D355" s="1">
        <v>32</v>
      </c>
      <c r="E355" s="1" t="s">
        <v>13</v>
      </c>
      <c r="F355" s="1">
        <v>23203</v>
      </c>
      <c r="G355" s="1" t="str">
        <f t="shared" si="15"/>
        <v>Sufficient</v>
      </c>
      <c r="H355" s="1">
        <f t="shared" si="16"/>
        <v>3271623</v>
      </c>
      <c r="I355" s="1">
        <f t="shared" si="17"/>
        <v>4640.6000000000004</v>
      </c>
    </row>
    <row r="356" spans="1:9" x14ac:dyDescent="0.3">
      <c r="A356" s="1" t="s">
        <v>373</v>
      </c>
      <c r="B356" s="1" t="s">
        <v>7</v>
      </c>
      <c r="C356" s="1">
        <v>117</v>
      </c>
      <c r="D356" s="1">
        <v>41</v>
      </c>
      <c r="E356" s="1" t="s">
        <v>8</v>
      </c>
      <c r="F356" s="1">
        <v>12902</v>
      </c>
      <c r="G356" s="1" t="str">
        <f t="shared" si="15"/>
        <v>Sufficient</v>
      </c>
      <c r="H356" s="1">
        <f t="shared" si="16"/>
        <v>1509534</v>
      </c>
      <c r="I356" s="1">
        <f t="shared" si="17"/>
        <v>2580.4</v>
      </c>
    </row>
    <row r="357" spans="1:9" x14ac:dyDescent="0.3">
      <c r="A357" s="1" t="s">
        <v>374</v>
      </c>
      <c r="B357" s="1" t="s">
        <v>20</v>
      </c>
      <c r="C357" s="1">
        <v>155</v>
      </c>
      <c r="D357" s="1">
        <v>26</v>
      </c>
      <c r="E357" s="1" t="s">
        <v>10</v>
      </c>
      <c r="F357" s="1">
        <v>51506</v>
      </c>
      <c r="G357" s="1" t="str">
        <f t="shared" si="15"/>
        <v>Sufficient</v>
      </c>
      <c r="H357" s="1">
        <f t="shared" si="16"/>
        <v>7983430</v>
      </c>
      <c r="I357" s="1">
        <f t="shared" si="17"/>
        <v>10301.200000000001</v>
      </c>
    </row>
    <row r="358" spans="1:9" x14ac:dyDescent="0.3">
      <c r="A358" s="1" t="s">
        <v>375</v>
      </c>
      <c r="B358" s="1" t="s">
        <v>18</v>
      </c>
      <c r="C358" s="1">
        <v>96</v>
      </c>
      <c r="D358" s="1">
        <v>32</v>
      </c>
      <c r="E358" s="1" t="s">
        <v>8</v>
      </c>
      <c r="F358" s="1">
        <v>60893</v>
      </c>
      <c r="G358" s="1" t="str">
        <f t="shared" si="15"/>
        <v>Sufficient</v>
      </c>
      <c r="H358" s="1">
        <f t="shared" si="16"/>
        <v>5845728</v>
      </c>
      <c r="I358" s="1">
        <f t="shared" si="17"/>
        <v>12178.6</v>
      </c>
    </row>
    <row r="359" spans="1:9" x14ac:dyDescent="0.3">
      <c r="A359" s="1" t="s">
        <v>376</v>
      </c>
      <c r="B359" s="1" t="s">
        <v>15</v>
      </c>
      <c r="C359" s="1">
        <v>127</v>
      </c>
      <c r="D359" s="1">
        <v>10</v>
      </c>
      <c r="E359" s="1" t="s">
        <v>8</v>
      </c>
      <c r="F359" s="1">
        <v>13261</v>
      </c>
      <c r="G359" s="1" t="str">
        <f t="shared" si="15"/>
        <v>Sufficient</v>
      </c>
      <c r="H359" s="1">
        <f t="shared" si="16"/>
        <v>1684147</v>
      </c>
      <c r="I359" s="1">
        <f t="shared" si="17"/>
        <v>2652.2000000000003</v>
      </c>
    </row>
    <row r="360" spans="1:9" x14ac:dyDescent="0.3">
      <c r="A360" s="1" t="s">
        <v>377</v>
      </c>
      <c r="B360" s="1" t="s">
        <v>7</v>
      </c>
      <c r="C360" s="1">
        <v>32</v>
      </c>
      <c r="D360" s="1">
        <v>49</v>
      </c>
      <c r="E360" s="1" t="s">
        <v>16</v>
      </c>
      <c r="F360" s="1">
        <v>47688</v>
      </c>
      <c r="G360" s="1" t="str">
        <f t="shared" si="15"/>
        <v>Low Stock</v>
      </c>
      <c r="H360" s="1">
        <f t="shared" si="16"/>
        <v>1526016</v>
      </c>
      <c r="I360" s="1">
        <f t="shared" si="17"/>
        <v>9537.6</v>
      </c>
    </row>
    <row r="361" spans="1:9" x14ac:dyDescent="0.3">
      <c r="A361" s="1" t="s">
        <v>378</v>
      </c>
      <c r="B361" s="1" t="s">
        <v>15</v>
      </c>
      <c r="C361" s="1">
        <v>194</v>
      </c>
      <c r="D361" s="1">
        <v>22</v>
      </c>
      <c r="E361" s="1" t="s">
        <v>8</v>
      </c>
      <c r="F361" s="1">
        <v>24203</v>
      </c>
      <c r="G361" s="1" t="str">
        <f t="shared" si="15"/>
        <v>Sufficient</v>
      </c>
      <c r="H361" s="1">
        <f t="shared" si="16"/>
        <v>4695382</v>
      </c>
      <c r="I361" s="1">
        <f t="shared" si="17"/>
        <v>4840.6000000000004</v>
      </c>
    </row>
    <row r="362" spans="1:9" x14ac:dyDescent="0.3">
      <c r="A362" s="1" t="s">
        <v>379</v>
      </c>
      <c r="B362" s="1" t="s">
        <v>7</v>
      </c>
      <c r="C362" s="1">
        <v>65</v>
      </c>
      <c r="D362" s="1">
        <v>49</v>
      </c>
      <c r="E362" s="1" t="s">
        <v>8</v>
      </c>
      <c r="F362" s="1">
        <v>30009</v>
      </c>
      <c r="G362" s="1" t="str">
        <f t="shared" si="15"/>
        <v>Sufficient</v>
      </c>
      <c r="H362" s="1">
        <f t="shared" si="16"/>
        <v>1950585</v>
      </c>
      <c r="I362" s="1">
        <f t="shared" si="17"/>
        <v>6001.8</v>
      </c>
    </row>
    <row r="363" spans="1:9" x14ac:dyDescent="0.3">
      <c r="A363" s="1" t="s">
        <v>380</v>
      </c>
      <c r="B363" s="1" t="s">
        <v>7</v>
      </c>
      <c r="C363" s="1">
        <v>47</v>
      </c>
      <c r="D363" s="1">
        <v>48</v>
      </c>
      <c r="E363" s="1" t="s">
        <v>26</v>
      </c>
      <c r="F363" s="1">
        <v>22165</v>
      </c>
      <c r="G363" s="1" t="str">
        <f t="shared" si="15"/>
        <v>Low Stock</v>
      </c>
      <c r="H363" s="1">
        <f t="shared" si="16"/>
        <v>1041755</v>
      </c>
      <c r="I363" s="1">
        <f t="shared" si="17"/>
        <v>4433</v>
      </c>
    </row>
    <row r="364" spans="1:9" x14ac:dyDescent="0.3">
      <c r="A364" s="1" t="s">
        <v>381</v>
      </c>
      <c r="B364" s="1" t="s">
        <v>29</v>
      </c>
      <c r="C364" s="1">
        <v>100</v>
      </c>
      <c r="D364" s="1">
        <v>39</v>
      </c>
      <c r="E364" s="1" t="s">
        <v>26</v>
      </c>
      <c r="F364" s="1">
        <v>5702</v>
      </c>
      <c r="G364" s="1" t="str">
        <f t="shared" si="15"/>
        <v>Sufficient</v>
      </c>
      <c r="H364" s="1">
        <f t="shared" si="16"/>
        <v>570200</v>
      </c>
      <c r="I364" s="1">
        <f t="shared" si="17"/>
        <v>1140.4000000000001</v>
      </c>
    </row>
    <row r="365" spans="1:9" x14ac:dyDescent="0.3">
      <c r="A365" s="1" t="s">
        <v>382</v>
      </c>
      <c r="B365" s="1" t="s">
        <v>18</v>
      </c>
      <c r="C365" s="1">
        <v>151</v>
      </c>
      <c r="D365" s="1">
        <v>41</v>
      </c>
      <c r="E365" s="1" t="s">
        <v>16</v>
      </c>
      <c r="F365" s="1">
        <v>47187</v>
      </c>
      <c r="G365" s="1" t="str">
        <f t="shared" si="15"/>
        <v>Sufficient</v>
      </c>
      <c r="H365" s="1">
        <f t="shared" si="16"/>
        <v>7125237</v>
      </c>
      <c r="I365" s="1">
        <f t="shared" si="17"/>
        <v>9437.4</v>
      </c>
    </row>
    <row r="366" spans="1:9" x14ac:dyDescent="0.3">
      <c r="A366" s="1" t="s">
        <v>383</v>
      </c>
      <c r="B366" s="1" t="s">
        <v>25</v>
      </c>
      <c r="C366" s="1">
        <v>75</v>
      </c>
      <c r="D366" s="1">
        <v>37</v>
      </c>
      <c r="E366" s="1" t="s">
        <v>10</v>
      </c>
      <c r="F366" s="1">
        <v>30727</v>
      </c>
      <c r="G366" s="1" t="str">
        <f t="shared" si="15"/>
        <v>Sufficient</v>
      </c>
      <c r="H366" s="1">
        <f t="shared" si="16"/>
        <v>2304525</v>
      </c>
      <c r="I366" s="1">
        <f t="shared" si="17"/>
        <v>6145.4000000000005</v>
      </c>
    </row>
    <row r="367" spans="1:9" x14ac:dyDescent="0.3">
      <c r="A367" s="1" t="s">
        <v>384</v>
      </c>
      <c r="B367" s="1" t="s">
        <v>15</v>
      </c>
      <c r="C367" s="1">
        <v>166</v>
      </c>
      <c r="D367" s="1">
        <v>47</v>
      </c>
      <c r="E367" s="1" t="s">
        <v>10</v>
      </c>
      <c r="F367" s="1">
        <v>78797</v>
      </c>
      <c r="G367" s="1" t="str">
        <f t="shared" si="15"/>
        <v>Sufficient</v>
      </c>
      <c r="H367" s="1">
        <f t="shared" si="16"/>
        <v>13080302</v>
      </c>
      <c r="I367" s="1">
        <f t="shared" si="17"/>
        <v>15759.400000000001</v>
      </c>
    </row>
    <row r="368" spans="1:9" x14ac:dyDescent="0.3">
      <c r="A368" s="1" t="s">
        <v>385</v>
      </c>
      <c r="B368" s="1" t="s">
        <v>23</v>
      </c>
      <c r="C368" s="1">
        <v>114</v>
      </c>
      <c r="D368" s="1">
        <v>35</v>
      </c>
      <c r="E368" s="1" t="s">
        <v>26</v>
      </c>
      <c r="F368" s="1">
        <v>58378</v>
      </c>
      <c r="G368" s="1" t="str">
        <f t="shared" si="15"/>
        <v>Sufficient</v>
      </c>
      <c r="H368" s="1">
        <f t="shared" si="16"/>
        <v>6655092</v>
      </c>
      <c r="I368" s="1">
        <f t="shared" si="17"/>
        <v>11675.6</v>
      </c>
    </row>
    <row r="369" spans="1:9" x14ac:dyDescent="0.3">
      <c r="A369" s="1" t="s">
        <v>386</v>
      </c>
      <c r="B369" s="1" t="s">
        <v>12</v>
      </c>
      <c r="C369" s="1">
        <v>169</v>
      </c>
      <c r="D369" s="1">
        <v>31</v>
      </c>
      <c r="E369" s="1" t="s">
        <v>16</v>
      </c>
      <c r="F369" s="1">
        <v>48317</v>
      </c>
      <c r="G369" s="1" t="str">
        <f t="shared" si="15"/>
        <v>Sufficient</v>
      </c>
      <c r="H369" s="1">
        <f t="shared" si="16"/>
        <v>8165573</v>
      </c>
      <c r="I369" s="1">
        <f t="shared" si="17"/>
        <v>9663.4</v>
      </c>
    </row>
    <row r="370" spans="1:9" x14ac:dyDescent="0.3">
      <c r="A370" s="1" t="s">
        <v>387</v>
      </c>
      <c r="B370" s="1" t="s">
        <v>29</v>
      </c>
      <c r="C370" s="1">
        <v>89</v>
      </c>
      <c r="D370" s="1">
        <v>47</v>
      </c>
      <c r="E370" s="1" t="s">
        <v>8</v>
      </c>
      <c r="F370" s="1">
        <v>17760</v>
      </c>
      <c r="G370" s="1" t="str">
        <f t="shared" si="15"/>
        <v>Sufficient</v>
      </c>
      <c r="H370" s="1">
        <f t="shared" si="16"/>
        <v>1580640</v>
      </c>
      <c r="I370" s="1">
        <f t="shared" si="17"/>
        <v>3552</v>
      </c>
    </row>
    <row r="371" spans="1:9" x14ac:dyDescent="0.3">
      <c r="A371" s="1" t="s">
        <v>388</v>
      </c>
      <c r="B371" s="1" t="s">
        <v>12</v>
      </c>
      <c r="C371" s="1">
        <v>102</v>
      </c>
      <c r="D371" s="1">
        <v>28</v>
      </c>
      <c r="E371" s="1" t="s">
        <v>16</v>
      </c>
      <c r="F371" s="1">
        <v>6772</v>
      </c>
      <c r="G371" s="1" t="str">
        <f t="shared" si="15"/>
        <v>Sufficient</v>
      </c>
      <c r="H371" s="1">
        <f t="shared" si="16"/>
        <v>690744</v>
      </c>
      <c r="I371" s="1">
        <f t="shared" si="17"/>
        <v>1354.4</v>
      </c>
    </row>
    <row r="372" spans="1:9" x14ac:dyDescent="0.3">
      <c r="A372" s="1" t="s">
        <v>389</v>
      </c>
      <c r="B372" s="1" t="s">
        <v>12</v>
      </c>
      <c r="C372" s="1">
        <v>135</v>
      </c>
      <c r="D372" s="1">
        <v>16</v>
      </c>
      <c r="E372" s="1" t="s">
        <v>13</v>
      </c>
      <c r="F372" s="1">
        <v>26574</v>
      </c>
      <c r="G372" s="1" t="str">
        <f t="shared" si="15"/>
        <v>Sufficient</v>
      </c>
      <c r="H372" s="1">
        <f t="shared" si="16"/>
        <v>3587490</v>
      </c>
      <c r="I372" s="1">
        <f t="shared" si="17"/>
        <v>5314.8</v>
      </c>
    </row>
    <row r="373" spans="1:9" x14ac:dyDescent="0.3">
      <c r="A373" s="1" t="s">
        <v>390</v>
      </c>
      <c r="B373" s="1" t="s">
        <v>29</v>
      </c>
      <c r="C373" s="1">
        <v>76</v>
      </c>
      <c r="D373" s="1">
        <v>30</v>
      </c>
      <c r="E373" s="1" t="s">
        <v>26</v>
      </c>
      <c r="F373" s="1">
        <v>45741</v>
      </c>
      <c r="G373" s="1" t="str">
        <f t="shared" si="15"/>
        <v>Sufficient</v>
      </c>
      <c r="H373" s="1">
        <f t="shared" si="16"/>
        <v>3476316</v>
      </c>
      <c r="I373" s="1">
        <f t="shared" si="17"/>
        <v>9148.2000000000007</v>
      </c>
    </row>
    <row r="374" spans="1:9" x14ac:dyDescent="0.3">
      <c r="A374" s="1" t="s">
        <v>391</v>
      </c>
      <c r="B374" s="1" t="s">
        <v>25</v>
      </c>
      <c r="C374" s="1">
        <v>181</v>
      </c>
      <c r="D374" s="1">
        <v>50</v>
      </c>
      <c r="E374" s="1" t="s">
        <v>13</v>
      </c>
      <c r="F374" s="1">
        <v>981</v>
      </c>
      <c r="G374" s="1" t="str">
        <f t="shared" si="15"/>
        <v>Sufficient</v>
      </c>
      <c r="H374" s="1">
        <f t="shared" si="16"/>
        <v>177561</v>
      </c>
      <c r="I374" s="1">
        <f t="shared" si="17"/>
        <v>196.20000000000002</v>
      </c>
    </row>
    <row r="375" spans="1:9" x14ac:dyDescent="0.3">
      <c r="A375" s="1" t="s">
        <v>392</v>
      </c>
      <c r="B375" s="1" t="s">
        <v>29</v>
      </c>
      <c r="C375" s="1">
        <v>56</v>
      </c>
      <c r="D375" s="1">
        <v>48</v>
      </c>
      <c r="E375" s="1" t="s">
        <v>13</v>
      </c>
      <c r="F375" s="1">
        <v>43022</v>
      </c>
      <c r="G375" s="1" t="str">
        <f t="shared" si="15"/>
        <v>Sufficient</v>
      </c>
      <c r="H375" s="1">
        <f t="shared" si="16"/>
        <v>2409232</v>
      </c>
      <c r="I375" s="1">
        <f t="shared" si="17"/>
        <v>8604.4</v>
      </c>
    </row>
    <row r="376" spans="1:9" x14ac:dyDescent="0.3">
      <c r="A376" s="1" t="s">
        <v>393</v>
      </c>
      <c r="B376" s="1" t="s">
        <v>29</v>
      </c>
      <c r="C376" s="1">
        <v>148</v>
      </c>
      <c r="D376" s="1">
        <v>16</v>
      </c>
      <c r="E376" s="1" t="s">
        <v>16</v>
      </c>
      <c r="F376" s="1">
        <v>37037</v>
      </c>
      <c r="G376" s="1" t="str">
        <f t="shared" si="15"/>
        <v>Sufficient</v>
      </c>
      <c r="H376" s="1">
        <f t="shared" si="16"/>
        <v>5481476</v>
      </c>
      <c r="I376" s="1">
        <f t="shared" si="17"/>
        <v>7407.4000000000005</v>
      </c>
    </row>
    <row r="377" spans="1:9" x14ac:dyDescent="0.3">
      <c r="A377" s="1" t="s">
        <v>394</v>
      </c>
      <c r="B377" s="1" t="s">
        <v>25</v>
      </c>
      <c r="C377" s="1">
        <v>184</v>
      </c>
      <c r="D377" s="1">
        <v>19</v>
      </c>
      <c r="E377" s="1" t="s">
        <v>8</v>
      </c>
      <c r="F377" s="1">
        <v>49209</v>
      </c>
      <c r="G377" s="1" t="str">
        <f t="shared" si="15"/>
        <v>Sufficient</v>
      </c>
      <c r="H377" s="1">
        <f t="shared" si="16"/>
        <v>9054456</v>
      </c>
      <c r="I377" s="1">
        <f t="shared" si="17"/>
        <v>9841.8000000000011</v>
      </c>
    </row>
    <row r="378" spans="1:9" x14ac:dyDescent="0.3">
      <c r="A378" s="1" t="s">
        <v>395</v>
      </c>
      <c r="B378" s="1" t="s">
        <v>25</v>
      </c>
      <c r="C378" s="1">
        <v>27</v>
      </c>
      <c r="D378" s="1">
        <v>30</v>
      </c>
      <c r="E378" s="1" t="s">
        <v>10</v>
      </c>
      <c r="F378" s="1">
        <v>35096</v>
      </c>
      <c r="G378" s="1" t="str">
        <f t="shared" si="15"/>
        <v>Low Stock</v>
      </c>
      <c r="H378" s="1">
        <f t="shared" si="16"/>
        <v>947592</v>
      </c>
      <c r="I378" s="1">
        <f t="shared" si="17"/>
        <v>7019.2000000000007</v>
      </c>
    </row>
    <row r="379" spans="1:9" x14ac:dyDescent="0.3">
      <c r="A379" s="1" t="s">
        <v>396</v>
      </c>
      <c r="B379" s="1" t="s">
        <v>15</v>
      </c>
      <c r="C379" s="1">
        <v>109</v>
      </c>
      <c r="D379" s="1">
        <v>45</v>
      </c>
      <c r="E379" s="1" t="s">
        <v>8</v>
      </c>
      <c r="F379" s="1">
        <v>48607</v>
      </c>
      <c r="G379" s="1" t="str">
        <f t="shared" si="15"/>
        <v>Sufficient</v>
      </c>
      <c r="H379" s="1">
        <f t="shared" si="16"/>
        <v>5298163</v>
      </c>
      <c r="I379" s="1">
        <f t="shared" si="17"/>
        <v>9721.4</v>
      </c>
    </row>
    <row r="380" spans="1:9" x14ac:dyDescent="0.3">
      <c r="A380" s="1" t="s">
        <v>397</v>
      </c>
      <c r="B380" s="1" t="s">
        <v>25</v>
      </c>
      <c r="C380" s="1">
        <v>125</v>
      </c>
      <c r="D380" s="1">
        <v>46</v>
      </c>
      <c r="E380" s="1" t="s">
        <v>8</v>
      </c>
      <c r="F380" s="1">
        <v>23035</v>
      </c>
      <c r="G380" s="1" t="str">
        <f t="shared" si="15"/>
        <v>Sufficient</v>
      </c>
      <c r="H380" s="1">
        <f t="shared" si="16"/>
        <v>2879375</v>
      </c>
      <c r="I380" s="1">
        <f t="shared" si="17"/>
        <v>4607</v>
      </c>
    </row>
    <row r="381" spans="1:9" x14ac:dyDescent="0.3">
      <c r="A381" s="1" t="s">
        <v>398</v>
      </c>
      <c r="B381" s="1" t="s">
        <v>7</v>
      </c>
      <c r="C381" s="1">
        <v>169</v>
      </c>
      <c r="D381" s="1">
        <v>16</v>
      </c>
      <c r="E381" s="1" t="s">
        <v>10</v>
      </c>
      <c r="F381" s="1">
        <v>3925</v>
      </c>
      <c r="G381" s="1" t="str">
        <f t="shared" si="15"/>
        <v>Sufficient</v>
      </c>
      <c r="H381" s="1">
        <f t="shared" si="16"/>
        <v>663325</v>
      </c>
      <c r="I381" s="1">
        <f t="shared" si="17"/>
        <v>785</v>
      </c>
    </row>
    <row r="382" spans="1:9" x14ac:dyDescent="0.3">
      <c r="A382" s="1" t="s">
        <v>399</v>
      </c>
      <c r="B382" s="1" t="s">
        <v>7</v>
      </c>
      <c r="C382" s="1">
        <v>156</v>
      </c>
      <c r="D382" s="1">
        <v>29</v>
      </c>
      <c r="E382" s="1" t="s">
        <v>10</v>
      </c>
      <c r="F382" s="1">
        <v>12736</v>
      </c>
      <c r="G382" s="1" t="str">
        <f t="shared" si="15"/>
        <v>Sufficient</v>
      </c>
      <c r="H382" s="1">
        <f t="shared" si="16"/>
        <v>1986816</v>
      </c>
      <c r="I382" s="1">
        <f t="shared" si="17"/>
        <v>2547.2000000000003</v>
      </c>
    </row>
    <row r="383" spans="1:9" x14ac:dyDescent="0.3">
      <c r="A383" s="1" t="s">
        <v>400</v>
      </c>
      <c r="B383" s="1" t="s">
        <v>20</v>
      </c>
      <c r="C383" s="1">
        <v>24</v>
      </c>
      <c r="D383" s="1">
        <v>33</v>
      </c>
      <c r="E383" s="1" t="s">
        <v>16</v>
      </c>
      <c r="F383" s="1">
        <v>21280</v>
      </c>
      <c r="G383" s="1" t="str">
        <f t="shared" si="15"/>
        <v>Low Stock</v>
      </c>
      <c r="H383" s="1">
        <f t="shared" si="16"/>
        <v>510720</v>
      </c>
      <c r="I383" s="1">
        <f t="shared" si="17"/>
        <v>4256</v>
      </c>
    </row>
    <row r="384" spans="1:9" x14ac:dyDescent="0.3">
      <c r="A384" s="1" t="s">
        <v>401</v>
      </c>
      <c r="B384" s="1" t="s">
        <v>20</v>
      </c>
      <c r="C384" s="1">
        <v>88</v>
      </c>
      <c r="D384" s="1">
        <v>14</v>
      </c>
      <c r="E384" s="1" t="s">
        <v>13</v>
      </c>
      <c r="F384" s="1">
        <v>18909</v>
      </c>
      <c r="G384" s="1" t="str">
        <f t="shared" si="15"/>
        <v>Sufficient</v>
      </c>
      <c r="H384" s="1">
        <f t="shared" si="16"/>
        <v>1663992</v>
      </c>
      <c r="I384" s="1">
        <f t="shared" si="17"/>
        <v>3781.8</v>
      </c>
    </row>
    <row r="385" spans="1:9" x14ac:dyDescent="0.3">
      <c r="A385" s="1" t="s">
        <v>402</v>
      </c>
      <c r="B385" s="1" t="s">
        <v>7</v>
      </c>
      <c r="C385" s="1">
        <v>126</v>
      </c>
      <c r="D385" s="1">
        <v>32</v>
      </c>
      <c r="E385" s="1" t="s">
        <v>13</v>
      </c>
      <c r="F385" s="1">
        <v>12902</v>
      </c>
      <c r="G385" s="1" t="str">
        <f t="shared" si="15"/>
        <v>Sufficient</v>
      </c>
      <c r="H385" s="1">
        <f t="shared" si="16"/>
        <v>1625652</v>
      </c>
      <c r="I385" s="1">
        <f t="shared" si="17"/>
        <v>2580.4</v>
      </c>
    </row>
    <row r="386" spans="1:9" x14ac:dyDescent="0.3">
      <c r="A386" s="1" t="s">
        <v>403</v>
      </c>
      <c r="B386" s="1" t="s">
        <v>7</v>
      </c>
      <c r="C386" s="1">
        <v>107</v>
      </c>
      <c r="D386" s="1">
        <v>25</v>
      </c>
      <c r="E386" s="1" t="s">
        <v>26</v>
      </c>
      <c r="F386" s="1">
        <v>14214</v>
      </c>
      <c r="G386" s="1" t="str">
        <f t="shared" si="15"/>
        <v>Sufficient</v>
      </c>
      <c r="H386" s="1">
        <f t="shared" si="16"/>
        <v>1520898</v>
      </c>
      <c r="I386" s="1">
        <f t="shared" si="17"/>
        <v>2842.8</v>
      </c>
    </row>
    <row r="387" spans="1:9" x14ac:dyDescent="0.3">
      <c r="A387" s="1" t="s">
        <v>404</v>
      </c>
      <c r="B387" s="1" t="s">
        <v>12</v>
      </c>
      <c r="C387" s="1">
        <v>38</v>
      </c>
      <c r="D387" s="1">
        <v>35</v>
      </c>
      <c r="E387" s="1" t="s">
        <v>10</v>
      </c>
      <c r="F387" s="1">
        <v>20393</v>
      </c>
      <c r="G387" s="1" t="str">
        <f t="shared" ref="G387:G450" si="18">IF(C387=0,"Pending",IF(C387&lt;=D387,"Low Stock", "Sufficient"))</f>
        <v>Sufficient</v>
      </c>
      <c r="H387" s="1">
        <f t="shared" ref="H387:H450" si="19">C387*F387</f>
        <v>774934</v>
      </c>
      <c r="I387" s="1">
        <f t="shared" ref="I387:I450" si="20">F387*0.2</f>
        <v>4078.6000000000004</v>
      </c>
    </row>
    <row r="388" spans="1:9" x14ac:dyDescent="0.3">
      <c r="A388" s="1" t="s">
        <v>405</v>
      </c>
      <c r="B388" s="1" t="s">
        <v>18</v>
      </c>
      <c r="C388" s="1">
        <v>173</v>
      </c>
      <c r="D388" s="1">
        <v>32</v>
      </c>
      <c r="E388" s="1" t="s">
        <v>16</v>
      </c>
      <c r="F388" s="1">
        <v>31248</v>
      </c>
      <c r="G388" s="1" t="str">
        <f t="shared" si="18"/>
        <v>Sufficient</v>
      </c>
      <c r="H388" s="1">
        <f t="shared" si="19"/>
        <v>5405904</v>
      </c>
      <c r="I388" s="1">
        <f t="shared" si="20"/>
        <v>6249.6</v>
      </c>
    </row>
    <row r="389" spans="1:9" x14ac:dyDescent="0.3">
      <c r="A389" s="1" t="s">
        <v>406</v>
      </c>
      <c r="B389" s="1" t="s">
        <v>25</v>
      </c>
      <c r="C389" s="1">
        <v>39</v>
      </c>
      <c r="D389" s="1">
        <v>17</v>
      </c>
      <c r="E389" s="1" t="s">
        <v>13</v>
      </c>
      <c r="F389" s="1">
        <v>42773</v>
      </c>
      <c r="G389" s="1" t="str">
        <f t="shared" si="18"/>
        <v>Sufficient</v>
      </c>
      <c r="H389" s="1">
        <f t="shared" si="19"/>
        <v>1668147</v>
      </c>
      <c r="I389" s="1">
        <f t="shared" si="20"/>
        <v>8554.6</v>
      </c>
    </row>
    <row r="390" spans="1:9" x14ac:dyDescent="0.3">
      <c r="A390" s="1" t="s">
        <v>407</v>
      </c>
      <c r="B390" s="1" t="s">
        <v>23</v>
      </c>
      <c r="C390" s="1">
        <v>135</v>
      </c>
      <c r="D390" s="1">
        <v>27</v>
      </c>
      <c r="E390" s="1" t="s">
        <v>16</v>
      </c>
      <c r="F390" s="1">
        <v>966</v>
      </c>
      <c r="G390" s="1" t="str">
        <f t="shared" si="18"/>
        <v>Sufficient</v>
      </c>
      <c r="H390" s="1">
        <f t="shared" si="19"/>
        <v>130410</v>
      </c>
      <c r="I390" s="1">
        <f t="shared" si="20"/>
        <v>193.20000000000002</v>
      </c>
    </row>
    <row r="391" spans="1:9" x14ac:dyDescent="0.3">
      <c r="A391" s="1" t="s">
        <v>408</v>
      </c>
      <c r="B391" s="1" t="s">
        <v>7</v>
      </c>
      <c r="C391" s="1">
        <v>185</v>
      </c>
      <c r="D391" s="1">
        <v>21</v>
      </c>
      <c r="E391" s="1" t="s">
        <v>26</v>
      </c>
      <c r="F391" s="1">
        <v>34148</v>
      </c>
      <c r="G391" s="1" t="str">
        <f t="shared" si="18"/>
        <v>Sufficient</v>
      </c>
      <c r="H391" s="1">
        <f t="shared" si="19"/>
        <v>6317380</v>
      </c>
      <c r="I391" s="1">
        <f t="shared" si="20"/>
        <v>6829.6</v>
      </c>
    </row>
    <row r="392" spans="1:9" x14ac:dyDescent="0.3">
      <c r="A392" s="1" t="s">
        <v>409</v>
      </c>
      <c r="B392" s="1" t="s">
        <v>7</v>
      </c>
      <c r="C392" s="1">
        <v>192</v>
      </c>
      <c r="D392" s="1">
        <v>48</v>
      </c>
      <c r="E392" s="1" t="s">
        <v>10</v>
      </c>
      <c r="F392" s="1">
        <v>22084</v>
      </c>
      <c r="G392" s="1" t="str">
        <f t="shared" si="18"/>
        <v>Sufficient</v>
      </c>
      <c r="H392" s="1">
        <f t="shared" si="19"/>
        <v>4240128</v>
      </c>
      <c r="I392" s="1">
        <f t="shared" si="20"/>
        <v>4416.8</v>
      </c>
    </row>
    <row r="393" spans="1:9" x14ac:dyDescent="0.3">
      <c r="A393" s="1" t="s">
        <v>410</v>
      </c>
      <c r="B393" s="1" t="s">
        <v>29</v>
      </c>
      <c r="C393" s="1">
        <v>161</v>
      </c>
      <c r="D393" s="1">
        <v>37</v>
      </c>
      <c r="E393" s="1" t="s">
        <v>16</v>
      </c>
      <c r="F393" s="1">
        <v>75251</v>
      </c>
      <c r="G393" s="1" t="str">
        <f t="shared" si="18"/>
        <v>Sufficient</v>
      </c>
      <c r="H393" s="1">
        <f t="shared" si="19"/>
        <v>12115411</v>
      </c>
      <c r="I393" s="1">
        <f t="shared" si="20"/>
        <v>15050.2</v>
      </c>
    </row>
    <row r="394" spans="1:9" x14ac:dyDescent="0.3">
      <c r="A394" s="1" t="s">
        <v>411</v>
      </c>
      <c r="B394" s="1" t="s">
        <v>25</v>
      </c>
      <c r="C394" s="1">
        <v>85</v>
      </c>
      <c r="D394" s="1">
        <v>47</v>
      </c>
      <c r="E394" s="1" t="s">
        <v>26</v>
      </c>
      <c r="F394" s="1">
        <v>46710</v>
      </c>
      <c r="G394" s="1" t="str">
        <f t="shared" si="18"/>
        <v>Sufficient</v>
      </c>
      <c r="H394" s="1">
        <f t="shared" si="19"/>
        <v>3970350</v>
      </c>
      <c r="I394" s="1">
        <f t="shared" si="20"/>
        <v>9342</v>
      </c>
    </row>
    <row r="395" spans="1:9" x14ac:dyDescent="0.3">
      <c r="A395" s="1" t="s">
        <v>412</v>
      </c>
      <c r="B395" s="1" t="s">
        <v>12</v>
      </c>
      <c r="C395" s="1">
        <v>174</v>
      </c>
      <c r="D395" s="1">
        <v>33</v>
      </c>
      <c r="E395" s="1" t="s">
        <v>8</v>
      </c>
      <c r="F395" s="1">
        <v>5055</v>
      </c>
      <c r="G395" s="1" t="str">
        <f t="shared" si="18"/>
        <v>Sufficient</v>
      </c>
      <c r="H395" s="1">
        <f t="shared" si="19"/>
        <v>879570</v>
      </c>
      <c r="I395" s="1">
        <f t="shared" si="20"/>
        <v>1011</v>
      </c>
    </row>
    <row r="396" spans="1:9" x14ac:dyDescent="0.3">
      <c r="A396" s="1" t="s">
        <v>413</v>
      </c>
      <c r="B396" s="1" t="s">
        <v>20</v>
      </c>
      <c r="C396" s="1">
        <v>178</v>
      </c>
      <c r="D396" s="1">
        <v>38</v>
      </c>
      <c r="E396" s="1" t="s">
        <v>10</v>
      </c>
      <c r="F396" s="1">
        <v>31187</v>
      </c>
      <c r="G396" s="1" t="str">
        <f t="shared" si="18"/>
        <v>Sufficient</v>
      </c>
      <c r="H396" s="1">
        <f t="shared" si="19"/>
        <v>5551286</v>
      </c>
      <c r="I396" s="1">
        <f t="shared" si="20"/>
        <v>6237.4000000000005</v>
      </c>
    </row>
    <row r="397" spans="1:9" x14ac:dyDescent="0.3">
      <c r="A397" s="1" t="s">
        <v>414</v>
      </c>
      <c r="B397" s="1" t="s">
        <v>25</v>
      </c>
      <c r="C397" s="1">
        <v>90</v>
      </c>
      <c r="D397" s="1">
        <v>29</v>
      </c>
      <c r="E397" s="1" t="s">
        <v>16</v>
      </c>
      <c r="F397" s="1">
        <v>42292</v>
      </c>
      <c r="G397" s="1" t="str">
        <f t="shared" si="18"/>
        <v>Sufficient</v>
      </c>
      <c r="H397" s="1">
        <f t="shared" si="19"/>
        <v>3806280</v>
      </c>
      <c r="I397" s="1">
        <f t="shared" si="20"/>
        <v>8458.4</v>
      </c>
    </row>
    <row r="398" spans="1:9" x14ac:dyDescent="0.3">
      <c r="A398" s="1" t="s">
        <v>415</v>
      </c>
      <c r="B398" s="1" t="s">
        <v>20</v>
      </c>
      <c r="C398" s="1">
        <v>139</v>
      </c>
      <c r="D398" s="1">
        <v>19</v>
      </c>
      <c r="E398" s="1" t="s">
        <v>16</v>
      </c>
      <c r="F398" s="1">
        <v>22209</v>
      </c>
      <c r="G398" s="1" t="str">
        <f t="shared" si="18"/>
        <v>Sufficient</v>
      </c>
      <c r="H398" s="1">
        <f t="shared" si="19"/>
        <v>3087051</v>
      </c>
      <c r="I398" s="1">
        <f t="shared" si="20"/>
        <v>4441.8</v>
      </c>
    </row>
    <row r="399" spans="1:9" x14ac:dyDescent="0.3">
      <c r="A399" s="1" t="s">
        <v>416</v>
      </c>
      <c r="B399" s="1" t="s">
        <v>15</v>
      </c>
      <c r="C399" s="1">
        <v>148</v>
      </c>
      <c r="D399" s="1">
        <v>36</v>
      </c>
      <c r="E399" s="1" t="s">
        <v>8</v>
      </c>
      <c r="F399" s="1">
        <v>15569</v>
      </c>
      <c r="G399" s="1" t="str">
        <f t="shared" si="18"/>
        <v>Sufficient</v>
      </c>
      <c r="H399" s="1">
        <f t="shared" si="19"/>
        <v>2304212</v>
      </c>
      <c r="I399" s="1">
        <f t="shared" si="20"/>
        <v>3113.8</v>
      </c>
    </row>
    <row r="400" spans="1:9" x14ac:dyDescent="0.3">
      <c r="A400" s="1" t="s">
        <v>417</v>
      </c>
      <c r="B400" s="1" t="s">
        <v>7</v>
      </c>
      <c r="C400" s="1">
        <v>69</v>
      </c>
      <c r="D400" s="1">
        <v>16</v>
      </c>
      <c r="E400" s="1" t="s">
        <v>26</v>
      </c>
      <c r="F400" s="1">
        <v>32386</v>
      </c>
      <c r="G400" s="1" t="str">
        <f t="shared" si="18"/>
        <v>Sufficient</v>
      </c>
      <c r="H400" s="1">
        <f t="shared" si="19"/>
        <v>2234634</v>
      </c>
      <c r="I400" s="1">
        <f t="shared" si="20"/>
        <v>6477.2000000000007</v>
      </c>
    </row>
    <row r="401" spans="1:9" x14ac:dyDescent="0.3">
      <c r="A401" s="1" t="s">
        <v>418</v>
      </c>
      <c r="B401" s="1" t="s">
        <v>18</v>
      </c>
      <c r="C401" s="1">
        <v>107</v>
      </c>
      <c r="D401" s="1">
        <v>28</v>
      </c>
      <c r="E401" s="1" t="s">
        <v>16</v>
      </c>
      <c r="F401" s="1">
        <v>53496</v>
      </c>
      <c r="G401" s="1" t="str">
        <f t="shared" si="18"/>
        <v>Sufficient</v>
      </c>
      <c r="H401" s="1">
        <f t="shared" si="19"/>
        <v>5724072</v>
      </c>
      <c r="I401" s="1">
        <f t="shared" si="20"/>
        <v>10699.2</v>
      </c>
    </row>
    <row r="402" spans="1:9" x14ac:dyDescent="0.3">
      <c r="A402" s="1" t="s">
        <v>419</v>
      </c>
      <c r="B402" s="1" t="s">
        <v>20</v>
      </c>
      <c r="C402" s="1">
        <v>91</v>
      </c>
      <c r="D402" s="1">
        <v>37</v>
      </c>
      <c r="E402" s="1" t="s">
        <v>13</v>
      </c>
      <c r="F402" s="1">
        <v>71882</v>
      </c>
      <c r="G402" s="1" t="str">
        <f t="shared" si="18"/>
        <v>Sufficient</v>
      </c>
      <c r="H402" s="1">
        <f t="shared" si="19"/>
        <v>6541262</v>
      </c>
      <c r="I402" s="1">
        <f t="shared" si="20"/>
        <v>14376.400000000001</v>
      </c>
    </row>
    <row r="403" spans="1:9" x14ac:dyDescent="0.3">
      <c r="A403" s="1" t="s">
        <v>420</v>
      </c>
      <c r="B403" s="1" t="s">
        <v>23</v>
      </c>
      <c r="C403" s="1">
        <v>3</v>
      </c>
      <c r="D403" s="1">
        <v>35</v>
      </c>
      <c r="E403" s="1" t="s">
        <v>26</v>
      </c>
      <c r="F403" s="1">
        <v>39493</v>
      </c>
      <c r="G403" s="1" t="str">
        <f t="shared" si="18"/>
        <v>Low Stock</v>
      </c>
      <c r="H403" s="1">
        <f t="shared" si="19"/>
        <v>118479</v>
      </c>
      <c r="I403" s="1">
        <f t="shared" si="20"/>
        <v>7898.6</v>
      </c>
    </row>
    <row r="404" spans="1:9" x14ac:dyDescent="0.3">
      <c r="A404" s="1" t="s">
        <v>421</v>
      </c>
      <c r="B404" s="1" t="s">
        <v>15</v>
      </c>
      <c r="C404" s="1">
        <v>130</v>
      </c>
      <c r="D404" s="1">
        <v>25</v>
      </c>
      <c r="E404" s="1" t="s">
        <v>13</v>
      </c>
      <c r="F404" s="1">
        <v>55558</v>
      </c>
      <c r="G404" s="1" t="str">
        <f t="shared" si="18"/>
        <v>Sufficient</v>
      </c>
      <c r="H404" s="1">
        <f t="shared" si="19"/>
        <v>7222540</v>
      </c>
      <c r="I404" s="1">
        <f t="shared" si="20"/>
        <v>11111.6</v>
      </c>
    </row>
    <row r="405" spans="1:9" x14ac:dyDescent="0.3">
      <c r="A405" s="1" t="s">
        <v>422</v>
      </c>
      <c r="B405" s="1" t="s">
        <v>23</v>
      </c>
      <c r="C405" s="1">
        <v>112</v>
      </c>
      <c r="D405" s="1">
        <v>17</v>
      </c>
      <c r="E405" s="1" t="s">
        <v>13</v>
      </c>
      <c r="F405" s="1">
        <v>38774</v>
      </c>
      <c r="G405" s="1" t="str">
        <f t="shared" si="18"/>
        <v>Sufficient</v>
      </c>
      <c r="H405" s="1">
        <f t="shared" si="19"/>
        <v>4342688</v>
      </c>
      <c r="I405" s="1">
        <f t="shared" si="20"/>
        <v>7754.8</v>
      </c>
    </row>
    <row r="406" spans="1:9" x14ac:dyDescent="0.3">
      <c r="A406" s="1" t="s">
        <v>423</v>
      </c>
      <c r="B406" s="1" t="s">
        <v>20</v>
      </c>
      <c r="C406" s="1">
        <v>74</v>
      </c>
      <c r="D406" s="1">
        <v>13</v>
      </c>
      <c r="E406" s="1" t="s">
        <v>13</v>
      </c>
      <c r="F406" s="1">
        <v>67960</v>
      </c>
      <c r="G406" s="1" t="str">
        <f t="shared" si="18"/>
        <v>Sufficient</v>
      </c>
      <c r="H406" s="1">
        <f t="shared" si="19"/>
        <v>5029040</v>
      </c>
      <c r="I406" s="1">
        <f t="shared" si="20"/>
        <v>13592</v>
      </c>
    </row>
    <row r="407" spans="1:9" x14ac:dyDescent="0.3">
      <c r="A407" s="1" t="s">
        <v>424</v>
      </c>
      <c r="B407" s="1" t="s">
        <v>29</v>
      </c>
      <c r="C407" s="1">
        <v>139</v>
      </c>
      <c r="D407" s="1">
        <v>33</v>
      </c>
      <c r="E407" s="1" t="s">
        <v>13</v>
      </c>
      <c r="F407" s="1">
        <v>19153</v>
      </c>
      <c r="G407" s="1" t="str">
        <f t="shared" si="18"/>
        <v>Sufficient</v>
      </c>
      <c r="H407" s="1">
        <f t="shared" si="19"/>
        <v>2662267</v>
      </c>
      <c r="I407" s="1">
        <f t="shared" si="20"/>
        <v>3830.6000000000004</v>
      </c>
    </row>
    <row r="408" spans="1:9" x14ac:dyDescent="0.3">
      <c r="A408" s="1" t="s">
        <v>425</v>
      </c>
      <c r="B408" s="1" t="s">
        <v>20</v>
      </c>
      <c r="C408" s="1">
        <v>129</v>
      </c>
      <c r="D408" s="1">
        <v>46</v>
      </c>
      <c r="E408" s="1" t="s">
        <v>13</v>
      </c>
      <c r="F408" s="1">
        <v>4147</v>
      </c>
      <c r="G408" s="1" t="str">
        <f t="shared" si="18"/>
        <v>Sufficient</v>
      </c>
      <c r="H408" s="1">
        <f t="shared" si="19"/>
        <v>534963</v>
      </c>
      <c r="I408" s="1">
        <f t="shared" si="20"/>
        <v>829.40000000000009</v>
      </c>
    </row>
    <row r="409" spans="1:9" x14ac:dyDescent="0.3">
      <c r="A409" s="1" t="s">
        <v>426</v>
      </c>
      <c r="B409" s="1" t="s">
        <v>7</v>
      </c>
      <c r="C409" s="1">
        <v>41</v>
      </c>
      <c r="D409" s="1">
        <v>42</v>
      </c>
      <c r="E409" s="1" t="s">
        <v>16</v>
      </c>
      <c r="F409" s="1">
        <v>28121</v>
      </c>
      <c r="G409" s="1" t="str">
        <f t="shared" si="18"/>
        <v>Low Stock</v>
      </c>
      <c r="H409" s="1">
        <f t="shared" si="19"/>
        <v>1152961</v>
      </c>
      <c r="I409" s="1">
        <f t="shared" si="20"/>
        <v>5624.2000000000007</v>
      </c>
    </row>
    <row r="410" spans="1:9" x14ac:dyDescent="0.3">
      <c r="A410" s="1" t="s">
        <v>427</v>
      </c>
      <c r="B410" s="1" t="s">
        <v>18</v>
      </c>
      <c r="C410" s="1">
        <v>54</v>
      </c>
      <c r="D410" s="1">
        <v>16</v>
      </c>
      <c r="E410" s="1" t="s">
        <v>13</v>
      </c>
      <c r="F410" s="1">
        <v>58459</v>
      </c>
      <c r="G410" s="1" t="str">
        <f t="shared" si="18"/>
        <v>Sufficient</v>
      </c>
      <c r="H410" s="1">
        <f t="shared" si="19"/>
        <v>3156786</v>
      </c>
      <c r="I410" s="1">
        <f t="shared" si="20"/>
        <v>11691.800000000001</v>
      </c>
    </row>
    <row r="411" spans="1:9" x14ac:dyDescent="0.3">
      <c r="A411" s="1" t="s">
        <v>428</v>
      </c>
      <c r="B411" s="1" t="s">
        <v>20</v>
      </c>
      <c r="C411" s="1">
        <v>98</v>
      </c>
      <c r="D411" s="1">
        <v>37</v>
      </c>
      <c r="E411" s="1" t="s">
        <v>13</v>
      </c>
      <c r="F411" s="1">
        <v>63862</v>
      </c>
      <c r="G411" s="1" t="str">
        <f t="shared" si="18"/>
        <v>Sufficient</v>
      </c>
      <c r="H411" s="1">
        <f t="shared" si="19"/>
        <v>6258476</v>
      </c>
      <c r="I411" s="1">
        <f t="shared" si="20"/>
        <v>12772.400000000001</v>
      </c>
    </row>
    <row r="412" spans="1:9" x14ac:dyDescent="0.3">
      <c r="A412" s="1" t="s">
        <v>429</v>
      </c>
      <c r="B412" s="1" t="s">
        <v>29</v>
      </c>
      <c r="C412" s="1">
        <v>120</v>
      </c>
      <c r="D412" s="1">
        <v>14</v>
      </c>
      <c r="E412" s="1" t="s">
        <v>10</v>
      </c>
      <c r="F412" s="1">
        <v>6620</v>
      </c>
      <c r="G412" s="1" t="str">
        <f t="shared" si="18"/>
        <v>Sufficient</v>
      </c>
      <c r="H412" s="1">
        <f t="shared" si="19"/>
        <v>794400</v>
      </c>
      <c r="I412" s="1">
        <f t="shared" si="20"/>
        <v>1324</v>
      </c>
    </row>
    <row r="413" spans="1:9" x14ac:dyDescent="0.3">
      <c r="A413" s="1" t="s">
        <v>430</v>
      </c>
      <c r="B413" s="1" t="s">
        <v>7</v>
      </c>
      <c r="C413" s="1">
        <v>26</v>
      </c>
      <c r="D413" s="1">
        <v>23</v>
      </c>
      <c r="E413" s="1" t="s">
        <v>13</v>
      </c>
      <c r="F413" s="1">
        <v>53731</v>
      </c>
      <c r="G413" s="1" t="str">
        <f t="shared" si="18"/>
        <v>Sufficient</v>
      </c>
      <c r="H413" s="1">
        <f t="shared" si="19"/>
        <v>1397006</v>
      </c>
      <c r="I413" s="1">
        <f t="shared" si="20"/>
        <v>10746.2</v>
      </c>
    </row>
    <row r="414" spans="1:9" x14ac:dyDescent="0.3">
      <c r="A414" s="1" t="s">
        <v>431</v>
      </c>
      <c r="B414" s="1" t="s">
        <v>23</v>
      </c>
      <c r="C414" s="1">
        <v>14</v>
      </c>
      <c r="D414" s="1">
        <v>33</v>
      </c>
      <c r="E414" s="1" t="s">
        <v>10</v>
      </c>
      <c r="F414" s="1">
        <v>41917</v>
      </c>
      <c r="G414" s="1" t="str">
        <f t="shared" si="18"/>
        <v>Low Stock</v>
      </c>
      <c r="H414" s="1">
        <f t="shared" si="19"/>
        <v>586838</v>
      </c>
      <c r="I414" s="1">
        <f t="shared" si="20"/>
        <v>8383.4</v>
      </c>
    </row>
    <row r="415" spans="1:9" x14ac:dyDescent="0.3">
      <c r="A415" s="1" t="s">
        <v>432</v>
      </c>
      <c r="B415" s="1" t="s">
        <v>25</v>
      </c>
      <c r="C415" s="1">
        <v>37</v>
      </c>
      <c r="D415" s="1">
        <v>20</v>
      </c>
      <c r="E415" s="1" t="s">
        <v>13</v>
      </c>
      <c r="F415" s="1">
        <v>15706</v>
      </c>
      <c r="G415" s="1" t="str">
        <f t="shared" si="18"/>
        <v>Sufficient</v>
      </c>
      <c r="H415" s="1">
        <f t="shared" si="19"/>
        <v>581122</v>
      </c>
      <c r="I415" s="1">
        <f t="shared" si="20"/>
        <v>3141.2000000000003</v>
      </c>
    </row>
    <row r="416" spans="1:9" x14ac:dyDescent="0.3">
      <c r="A416" s="1" t="s">
        <v>433</v>
      </c>
      <c r="B416" s="1" t="s">
        <v>29</v>
      </c>
      <c r="C416" s="1">
        <v>138</v>
      </c>
      <c r="D416" s="1">
        <v>44</v>
      </c>
      <c r="E416" s="1" t="s">
        <v>13</v>
      </c>
      <c r="F416" s="1">
        <v>52286</v>
      </c>
      <c r="G416" s="1" t="str">
        <f t="shared" si="18"/>
        <v>Sufficient</v>
      </c>
      <c r="H416" s="1">
        <f t="shared" si="19"/>
        <v>7215468</v>
      </c>
      <c r="I416" s="1">
        <f t="shared" si="20"/>
        <v>10457.200000000001</v>
      </c>
    </row>
    <row r="417" spans="1:9" x14ac:dyDescent="0.3">
      <c r="A417" s="1" t="s">
        <v>434</v>
      </c>
      <c r="B417" s="1" t="s">
        <v>23</v>
      </c>
      <c r="C417" s="1">
        <v>104</v>
      </c>
      <c r="D417" s="1">
        <v>10</v>
      </c>
      <c r="E417" s="1" t="s">
        <v>8</v>
      </c>
      <c r="F417" s="1">
        <v>19444</v>
      </c>
      <c r="G417" s="1" t="str">
        <f t="shared" si="18"/>
        <v>Sufficient</v>
      </c>
      <c r="H417" s="1">
        <f t="shared" si="19"/>
        <v>2022176</v>
      </c>
      <c r="I417" s="1">
        <f t="shared" si="20"/>
        <v>3888.8</v>
      </c>
    </row>
    <row r="418" spans="1:9" x14ac:dyDescent="0.3">
      <c r="A418" s="1" t="s">
        <v>435</v>
      </c>
      <c r="B418" s="1" t="s">
        <v>20</v>
      </c>
      <c r="C418" s="1">
        <v>23</v>
      </c>
      <c r="D418" s="1">
        <v>29</v>
      </c>
      <c r="E418" s="1" t="s">
        <v>16</v>
      </c>
      <c r="F418" s="1">
        <v>9397</v>
      </c>
      <c r="G418" s="1" t="str">
        <f t="shared" si="18"/>
        <v>Low Stock</v>
      </c>
      <c r="H418" s="1">
        <f t="shared" si="19"/>
        <v>216131</v>
      </c>
      <c r="I418" s="1">
        <f t="shared" si="20"/>
        <v>1879.4</v>
      </c>
    </row>
    <row r="419" spans="1:9" x14ac:dyDescent="0.3">
      <c r="A419" s="1" t="s">
        <v>436</v>
      </c>
      <c r="B419" s="1" t="s">
        <v>23</v>
      </c>
      <c r="C419" s="1">
        <v>99</v>
      </c>
      <c r="D419" s="1">
        <v>38</v>
      </c>
      <c r="E419" s="1" t="s">
        <v>8</v>
      </c>
      <c r="F419" s="1">
        <v>19617</v>
      </c>
      <c r="G419" s="1" t="str">
        <f t="shared" si="18"/>
        <v>Sufficient</v>
      </c>
      <c r="H419" s="1">
        <f t="shared" si="19"/>
        <v>1942083</v>
      </c>
      <c r="I419" s="1">
        <f t="shared" si="20"/>
        <v>3923.4</v>
      </c>
    </row>
    <row r="420" spans="1:9" x14ac:dyDescent="0.3">
      <c r="A420" s="1" t="s">
        <v>437</v>
      </c>
      <c r="B420" s="1" t="s">
        <v>29</v>
      </c>
      <c r="C420" s="1">
        <v>181</v>
      </c>
      <c r="D420" s="1">
        <v>22</v>
      </c>
      <c r="E420" s="1" t="s">
        <v>26</v>
      </c>
      <c r="F420" s="1">
        <v>20972</v>
      </c>
      <c r="G420" s="1" t="str">
        <f t="shared" si="18"/>
        <v>Sufficient</v>
      </c>
      <c r="H420" s="1">
        <f t="shared" si="19"/>
        <v>3795932</v>
      </c>
      <c r="I420" s="1">
        <f t="shared" si="20"/>
        <v>4194.4000000000005</v>
      </c>
    </row>
    <row r="421" spans="1:9" x14ac:dyDescent="0.3">
      <c r="A421" s="1" t="s">
        <v>438</v>
      </c>
      <c r="B421" s="1" t="s">
        <v>29</v>
      </c>
      <c r="C421" s="1">
        <v>110</v>
      </c>
      <c r="D421" s="1">
        <v>43</v>
      </c>
      <c r="E421" s="1" t="s">
        <v>13</v>
      </c>
      <c r="F421" s="1">
        <v>10079</v>
      </c>
      <c r="G421" s="1" t="str">
        <f t="shared" si="18"/>
        <v>Sufficient</v>
      </c>
      <c r="H421" s="1">
        <f t="shared" si="19"/>
        <v>1108690</v>
      </c>
      <c r="I421" s="1">
        <f t="shared" si="20"/>
        <v>2015.8000000000002</v>
      </c>
    </row>
    <row r="422" spans="1:9" x14ac:dyDescent="0.3">
      <c r="A422" s="1" t="s">
        <v>439</v>
      </c>
      <c r="B422" s="1" t="s">
        <v>12</v>
      </c>
      <c r="C422" s="1">
        <v>159</v>
      </c>
      <c r="D422" s="1">
        <v>20</v>
      </c>
      <c r="E422" s="1" t="s">
        <v>26</v>
      </c>
      <c r="F422" s="1">
        <v>8964</v>
      </c>
      <c r="G422" s="1" t="str">
        <f t="shared" si="18"/>
        <v>Sufficient</v>
      </c>
      <c r="H422" s="1">
        <f t="shared" si="19"/>
        <v>1425276</v>
      </c>
      <c r="I422" s="1">
        <f t="shared" si="20"/>
        <v>1792.8000000000002</v>
      </c>
    </row>
    <row r="423" spans="1:9" x14ac:dyDescent="0.3">
      <c r="A423" s="1" t="s">
        <v>440</v>
      </c>
      <c r="B423" s="1" t="s">
        <v>7</v>
      </c>
      <c r="C423" s="1">
        <v>20</v>
      </c>
      <c r="D423" s="1">
        <v>14</v>
      </c>
      <c r="E423" s="1" t="s">
        <v>26</v>
      </c>
      <c r="F423" s="1">
        <v>77900</v>
      </c>
      <c r="G423" s="1" t="str">
        <f t="shared" si="18"/>
        <v>Sufficient</v>
      </c>
      <c r="H423" s="1">
        <f t="shared" si="19"/>
        <v>1558000</v>
      </c>
      <c r="I423" s="1">
        <f t="shared" si="20"/>
        <v>15580</v>
      </c>
    </row>
    <row r="424" spans="1:9" x14ac:dyDescent="0.3">
      <c r="A424" s="1" t="s">
        <v>441</v>
      </c>
      <c r="B424" s="1" t="s">
        <v>15</v>
      </c>
      <c r="C424" s="1">
        <v>155</v>
      </c>
      <c r="D424" s="1">
        <v>21</v>
      </c>
      <c r="E424" s="1" t="s">
        <v>10</v>
      </c>
      <c r="F424" s="1">
        <v>25879</v>
      </c>
      <c r="G424" s="1" t="str">
        <f t="shared" si="18"/>
        <v>Sufficient</v>
      </c>
      <c r="H424" s="1">
        <f t="shared" si="19"/>
        <v>4011245</v>
      </c>
      <c r="I424" s="1">
        <f t="shared" si="20"/>
        <v>5175.8</v>
      </c>
    </row>
    <row r="425" spans="1:9" x14ac:dyDescent="0.3">
      <c r="A425" s="1" t="s">
        <v>442</v>
      </c>
      <c r="B425" s="1" t="s">
        <v>25</v>
      </c>
      <c r="C425" s="1">
        <v>200</v>
      </c>
      <c r="D425" s="1">
        <v>13</v>
      </c>
      <c r="E425" s="1" t="s">
        <v>16</v>
      </c>
      <c r="F425" s="1">
        <v>50793</v>
      </c>
      <c r="G425" s="1" t="str">
        <f t="shared" si="18"/>
        <v>Sufficient</v>
      </c>
      <c r="H425" s="1">
        <f t="shared" si="19"/>
        <v>10158600</v>
      </c>
      <c r="I425" s="1">
        <f t="shared" si="20"/>
        <v>10158.6</v>
      </c>
    </row>
    <row r="426" spans="1:9" x14ac:dyDescent="0.3">
      <c r="A426" s="1" t="s">
        <v>443</v>
      </c>
      <c r="B426" s="1" t="s">
        <v>23</v>
      </c>
      <c r="C426" s="1">
        <v>76</v>
      </c>
      <c r="D426" s="1">
        <v>46</v>
      </c>
      <c r="E426" s="1" t="s">
        <v>26</v>
      </c>
      <c r="F426" s="1">
        <v>16870</v>
      </c>
      <c r="G426" s="1" t="str">
        <f t="shared" si="18"/>
        <v>Sufficient</v>
      </c>
      <c r="H426" s="1">
        <f t="shared" si="19"/>
        <v>1282120</v>
      </c>
      <c r="I426" s="1">
        <f t="shared" si="20"/>
        <v>3374</v>
      </c>
    </row>
    <row r="427" spans="1:9" x14ac:dyDescent="0.3">
      <c r="A427" s="1" t="s">
        <v>444</v>
      </c>
      <c r="B427" s="1" t="s">
        <v>15</v>
      </c>
      <c r="C427" s="1">
        <v>151</v>
      </c>
      <c r="D427" s="1">
        <v>10</v>
      </c>
      <c r="E427" s="1" t="s">
        <v>10</v>
      </c>
      <c r="F427" s="1">
        <v>2775</v>
      </c>
      <c r="G427" s="1" t="str">
        <f t="shared" si="18"/>
        <v>Sufficient</v>
      </c>
      <c r="H427" s="1">
        <f t="shared" si="19"/>
        <v>419025</v>
      </c>
      <c r="I427" s="1">
        <f t="shared" si="20"/>
        <v>555</v>
      </c>
    </row>
    <row r="428" spans="1:9" x14ac:dyDescent="0.3">
      <c r="A428" s="1" t="s">
        <v>445</v>
      </c>
      <c r="B428" s="1" t="s">
        <v>12</v>
      </c>
      <c r="C428" s="1">
        <v>21</v>
      </c>
      <c r="D428" s="1">
        <v>18</v>
      </c>
      <c r="E428" s="1" t="s">
        <v>10</v>
      </c>
      <c r="F428" s="1">
        <v>65025</v>
      </c>
      <c r="G428" s="1" t="str">
        <f t="shared" si="18"/>
        <v>Sufficient</v>
      </c>
      <c r="H428" s="1">
        <f t="shared" si="19"/>
        <v>1365525</v>
      </c>
      <c r="I428" s="1">
        <f t="shared" si="20"/>
        <v>13005</v>
      </c>
    </row>
    <row r="429" spans="1:9" x14ac:dyDescent="0.3">
      <c r="A429" s="1" t="s">
        <v>446</v>
      </c>
      <c r="B429" s="1" t="s">
        <v>23</v>
      </c>
      <c r="C429" s="1">
        <v>166</v>
      </c>
      <c r="D429" s="1">
        <v>43</v>
      </c>
      <c r="E429" s="1" t="s">
        <v>26</v>
      </c>
      <c r="F429" s="1">
        <v>57263</v>
      </c>
      <c r="G429" s="1" t="str">
        <f t="shared" si="18"/>
        <v>Sufficient</v>
      </c>
      <c r="H429" s="1">
        <f t="shared" si="19"/>
        <v>9505658</v>
      </c>
      <c r="I429" s="1">
        <f t="shared" si="20"/>
        <v>11452.6</v>
      </c>
    </row>
    <row r="430" spans="1:9" x14ac:dyDescent="0.3">
      <c r="A430" s="1" t="s">
        <v>447</v>
      </c>
      <c r="B430" s="1" t="s">
        <v>20</v>
      </c>
      <c r="C430" s="1">
        <v>71</v>
      </c>
      <c r="D430" s="1">
        <v>45</v>
      </c>
      <c r="E430" s="1" t="s">
        <v>10</v>
      </c>
      <c r="F430" s="1">
        <v>64727</v>
      </c>
      <c r="G430" s="1" t="str">
        <f t="shared" si="18"/>
        <v>Sufficient</v>
      </c>
      <c r="H430" s="1">
        <f t="shared" si="19"/>
        <v>4595617</v>
      </c>
      <c r="I430" s="1">
        <f t="shared" si="20"/>
        <v>12945.400000000001</v>
      </c>
    </row>
    <row r="431" spans="1:9" x14ac:dyDescent="0.3">
      <c r="A431" s="1" t="s">
        <v>448</v>
      </c>
      <c r="B431" s="1" t="s">
        <v>12</v>
      </c>
      <c r="C431" s="1">
        <v>50</v>
      </c>
      <c r="D431" s="1">
        <v>37</v>
      </c>
      <c r="E431" s="1" t="s">
        <v>8</v>
      </c>
      <c r="F431" s="1">
        <v>4207</v>
      </c>
      <c r="G431" s="1" t="str">
        <f t="shared" si="18"/>
        <v>Sufficient</v>
      </c>
      <c r="H431" s="1">
        <f t="shared" si="19"/>
        <v>210350</v>
      </c>
      <c r="I431" s="1">
        <f t="shared" si="20"/>
        <v>841.40000000000009</v>
      </c>
    </row>
    <row r="432" spans="1:9" x14ac:dyDescent="0.3">
      <c r="A432" s="1" t="s">
        <v>449</v>
      </c>
      <c r="B432" s="1" t="s">
        <v>15</v>
      </c>
      <c r="C432" s="1">
        <v>110</v>
      </c>
      <c r="D432" s="1">
        <v>44</v>
      </c>
      <c r="E432" s="1" t="s">
        <v>26</v>
      </c>
      <c r="F432" s="1">
        <v>34268</v>
      </c>
      <c r="G432" s="1" t="str">
        <f t="shared" si="18"/>
        <v>Sufficient</v>
      </c>
      <c r="H432" s="1">
        <f t="shared" si="19"/>
        <v>3769480</v>
      </c>
      <c r="I432" s="1">
        <f t="shared" si="20"/>
        <v>6853.6</v>
      </c>
    </row>
    <row r="433" spans="1:9" x14ac:dyDescent="0.3">
      <c r="A433" s="1" t="s">
        <v>450</v>
      </c>
      <c r="B433" s="1" t="s">
        <v>18</v>
      </c>
      <c r="C433" s="1">
        <v>9</v>
      </c>
      <c r="D433" s="1">
        <v>17</v>
      </c>
      <c r="E433" s="1" t="s">
        <v>13</v>
      </c>
      <c r="F433" s="1">
        <v>17527</v>
      </c>
      <c r="G433" s="1" t="str">
        <f t="shared" si="18"/>
        <v>Low Stock</v>
      </c>
      <c r="H433" s="1">
        <f t="shared" si="19"/>
        <v>157743</v>
      </c>
      <c r="I433" s="1">
        <f t="shared" si="20"/>
        <v>3505.4</v>
      </c>
    </row>
    <row r="434" spans="1:9" x14ac:dyDescent="0.3">
      <c r="A434" s="1" t="s">
        <v>451</v>
      </c>
      <c r="B434" s="1" t="s">
        <v>7</v>
      </c>
      <c r="C434" s="1">
        <v>107</v>
      </c>
      <c r="D434" s="1">
        <v>50</v>
      </c>
      <c r="E434" s="1" t="s">
        <v>13</v>
      </c>
      <c r="F434" s="1">
        <v>6693</v>
      </c>
      <c r="G434" s="1" t="str">
        <f t="shared" si="18"/>
        <v>Sufficient</v>
      </c>
      <c r="H434" s="1">
        <f t="shared" si="19"/>
        <v>716151</v>
      </c>
      <c r="I434" s="1">
        <f t="shared" si="20"/>
        <v>1338.6000000000001</v>
      </c>
    </row>
    <row r="435" spans="1:9" x14ac:dyDescent="0.3">
      <c r="A435" s="1" t="s">
        <v>452</v>
      </c>
      <c r="B435" s="1" t="s">
        <v>20</v>
      </c>
      <c r="C435" s="1">
        <v>9</v>
      </c>
      <c r="D435" s="1">
        <v>10</v>
      </c>
      <c r="E435" s="1" t="s">
        <v>13</v>
      </c>
      <c r="F435" s="1">
        <v>35805</v>
      </c>
      <c r="G435" s="1" t="str">
        <f t="shared" si="18"/>
        <v>Low Stock</v>
      </c>
      <c r="H435" s="1">
        <f t="shared" si="19"/>
        <v>322245</v>
      </c>
      <c r="I435" s="1">
        <f t="shared" si="20"/>
        <v>7161</v>
      </c>
    </row>
    <row r="436" spans="1:9" x14ac:dyDescent="0.3">
      <c r="A436" s="1" t="s">
        <v>453</v>
      </c>
      <c r="B436" s="1" t="s">
        <v>12</v>
      </c>
      <c r="C436" s="1">
        <v>37</v>
      </c>
      <c r="D436" s="1">
        <v>45</v>
      </c>
      <c r="E436" s="1" t="s">
        <v>16</v>
      </c>
      <c r="F436" s="1">
        <v>24496</v>
      </c>
      <c r="G436" s="1" t="str">
        <f t="shared" si="18"/>
        <v>Low Stock</v>
      </c>
      <c r="H436" s="1">
        <f t="shared" si="19"/>
        <v>906352</v>
      </c>
      <c r="I436" s="1">
        <f t="shared" si="20"/>
        <v>4899.2</v>
      </c>
    </row>
    <row r="437" spans="1:9" x14ac:dyDescent="0.3">
      <c r="A437" s="1" t="s">
        <v>454</v>
      </c>
      <c r="B437" s="1" t="s">
        <v>7</v>
      </c>
      <c r="C437" s="1">
        <v>82</v>
      </c>
      <c r="D437" s="1">
        <v>42</v>
      </c>
      <c r="E437" s="1" t="s">
        <v>26</v>
      </c>
      <c r="F437" s="1">
        <v>77960</v>
      </c>
      <c r="G437" s="1" t="str">
        <f t="shared" si="18"/>
        <v>Sufficient</v>
      </c>
      <c r="H437" s="1">
        <f t="shared" si="19"/>
        <v>6392720</v>
      </c>
      <c r="I437" s="1">
        <f t="shared" si="20"/>
        <v>15592</v>
      </c>
    </row>
    <row r="438" spans="1:9" x14ac:dyDescent="0.3">
      <c r="A438" s="1" t="s">
        <v>455</v>
      </c>
      <c r="B438" s="1" t="s">
        <v>7</v>
      </c>
      <c r="C438" s="1">
        <v>117</v>
      </c>
      <c r="D438" s="1">
        <v>48</v>
      </c>
      <c r="E438" s="1" t="s">
        <v>8</v>
      </c>
      <c r="F438" s="1">
        <v>58266</v>
      </c>
      <c r="G438" s="1" t="str">
        <f t="shared" si="18"/>
        <v>Sufficient</v>
      </c>
      <c r="H438" s="1">
        <f t="shared" si="19"/>
        <v>6817122</v>
      </c>
      <c r="I438" s="1">
        <f t="shared" si="20"/>
        <v>11653.2</v>
      </c>
    </row>
    <row r="439" spans="1:9" x14ac:dyDescent="0.3">
      <c r="A439" s="1" t="s">
        <v>456</v>
      </c>
      <c r="B439" s="1" t="s">
        <v>29</v>
      </c>
      <c r="C439" s="1">
        <v>169</v>
      </c>
      <c r="D439" s="1">
        <v>18</v>
      </c>
      <c r="E439" s="1" t="s">
        <v>16</v>
      </c>
      <c r="F439" s="1">
        <v>32334</v>
      </c>
      <c r="G439" s="1" t="str">
        <f t="shared" si="18"/>
        <v>Sufficient</v>
      </c>
      <c r="H439" s="1">
        <f t="shared" si="19"/>
        <v>5464446</v>
      </c>
      <c r="I439" s="1">
        <f t="shared" si="20"/>
        <v>6466.8</v>
      </c>
    </row>
    <row r="440" spans="1:9" x14ac:dyDescent="0.3">
      <c r="A440" s="1" t="s">
        <v>457</v>
      </c>
      <c r="B440" s="1" t="s">
        <v>7</v>
      </c>
      <c r="C440" s="1">
        <v>67</v>
      </c>
      <c r="D440" s="1">
        <v>37</v>
      </c>
      <c r="E440" s="1" t="s">
        <v>16</v>
      </c>
      <c r="F440" s="1">
        <v>27868</v>
      </c>
      <c r="G440" s="1" t="str">
        <f t="shared" si="18"/>
        <v>Sufficient</v>
      </c>
      <c r="H440" s="1">
        <f t="shared" si="19"/>
        <v>1867156</v>
      </c>
      <c r="I440" s="1">
        <f t="shared" si="20"/>
        <v>5573.6</v>
      </c>
    </row>
    <row r="441" spans="1:9" x14ac:dyDescent="0.3">
      <c r="A441" s="1" t="s">
        <v>458</v>
      </c>
      <c r="B441" s="1" t="s">
        <v>7</v>
      </c>
      <c r="C441" s="1">
        <v>0</v>
      </c>
      <c r="D441" s="1">
        <v>20</v>
      </c>
      <c r="E441" s="1" t="s">
        <v>10</v>
      </c>
      <c r="F441" s="1">
        <v>30332</v>
      </c>
      <c r="G441" s="1" t="str">
        <f t="shared" si="18"/>
        <v>Pending</v>
      </c>
      <c r="H441" s="1">
        <f t="shared" si="19"/>
        <v>0</v>
      </c>
      <c r="I441" s="1">
        <f t="shared" si="20"/>
        <v>6066.4000000000005</v>
      </c>
    </row>
    <row r="442" spans="1:9" x14ac:dyDescent="0.3">
      <c r="A442" s="1" t="s">
        <v>459</v>
      </c>
      <c r="B442" s="1" t="s">
        <v>7</v>
      </c>
      <c r="C442" s="1">
        <v>94</v>
      </c>
      <c r="D442" s="1">
        <v>40</v>
      </c>
      <c r="E442" s="1" t="s">
        <v>8</v>
      </c>
      <c r="F442" s="1">
        <v>30644</v>
      </c>
      <c r="G442" s="1" t="str">
        <f t="shared" si="18"/>
        <v>Sufficient</v>
      </c>
      <c r="H442" s="1">
        <f t="shared" si="19"/>
        <v>2880536</v>
      </c>
      <c r="I442" s="1">
        <f t="shared" si="20"/>
        <v>6128.8</v>
      </c>
    </row>
    <row r="443" spans="1:9" x14ac:dyDescent="0.3">
      <c r="A443" s="1" t="s">
        <v>460</v>
      </c>
      <c r="B443" s="1" t="s">
        <v>15</v>
      </c>
      <c r="C443" s="1">
        <v>21</v>
      </c>
      <c r="D443" s="1">
        <v>47</v>
      </c>
      <c r="E443" s="1" t="s">
        <v>8</v>
      </c>
      <c r="F443" s="1">
        <v>32291</v>
      </c>
      <c r="G443" s="1" t="str">
        <f t="shared" si="18"/>
        <v>Low Stock</v>
      </c>
      <c r="H443" s="1">
        <f t="shared" si="19"/>
        <v>678111</v>
      </c>
      <c r="I443" s="1">
        <f t="shared" si="20"/>
        <v>6458.2000000000007</v>
      </c>
    </row>
    <row r="444" spans="1:9" x14ac:dyDescent="0.3">
      <c r="A444" s="1" t="s">
        <v>461</v>
      </c>
      <c r="B444" s="1" t="s">
        <v>20</v>
      </c>
      <c r="C444" s="1">
        <v>148</v>
      </c>
      <c r="D444" s="1">
        <v>34</v>
      </c>
      <c r="E444" s="1" t="s">
        <v>10</v>
      </c>
      <c r="F444" s="1">
        <v>9209</v>
      </c>
      <c r="G444" s="1" t="str">
        <f t="shared" si="18"/>
        <v>Sufficient</v>
      </c>
      <c r="H444" s="1">
        <f t="shared" si="19"/>
        <v>1362932</v>
      </c>
      <c r="I444" s="1">
        <f t="shared" si="20"/>
        <v>1841.8000000000002</v>
      </c>
    </row>
    <row r="445" spans="1:9" x14ac:dyDescent="0.3">
      <c r="A445" s="1" t="s">
        <v>462</v>
      </c>
      <c r="B445" s="1" t="s">
        <v>12</v>
      </c>
      <c r="C445" s="1">
        <v>113</v>
      </c>
      <c r="D445" s="1">
        <v>45</v>
      </c>
      <c r="E445" s="1" t="s">
        <v>13</v>
      </c>
      <c r="F445" s="1">
        <v>71915</v>
      </c>
      <c r="G445" s="1" t="str">
        <f t="shared" si="18"/>
        <v>Sufficient</v>
      </c>
      <c r="H445" s="1">
        <f t="shared" si="19"/>
        <v>8126395</v>
      </c>
      <c r="I445" s="1">
        <f t="shared" si="20"/>
        <v>14383</v>
      </c>
    </row>
    <row r="446" spans="1:9" x14ac:dyDescent="0.3">
      <c r="A446" s="1" t="s">
        <v>463</v>
      </c>
      <c r="B446" s="1" t="s">
        <v>20</v>
      </c>
      <c r="C446" s="1">
        <v>125</v>
      </c>
      <c r="D446" s="1">
        <v>20</v>
      </c>
      <c r="E446" s="1" t="s">
        <v>16</v>
      </c>
      <c r="F446" s="1">
        <v>16302</v>
      </c>
      <c r="G446" s="1" t="str">
        <f t="shared" si="18"/>
        <v>Sufficient</v>
      </c>
      <c r="H446" s="1">
        <f t="shared" si="19"/>
        <v>2037750</v>
      </c>
      <c r="I446" s="1">
        <f t="shared" si="20"/>
        <v>3260.4</v>
      </c>
    </row>
    <row r="447" spans="1:9" x14ac:dyDescent="0.3">
      <c r="A447" s="1" t="s">
        <v>464</v>
      </c>
      <c r="B447" s="1" t="s">
        <v>7</v>
      </c>
      <c r="C447" s="1">
        <v>156</v>
      </c>
      <c r="D447" s="1">
        <v>24</v>
      </c>
      <c r="E447" s="1" t="s">
        <v>13</v>
      </c>
      <c r="F447" s="1">
        <v>46891</v>
      </c>
      <c r="G447" s="1" t="str">
        <f t="shared" si="18"/>
        <v>Sufficient</v>
      </c>
      <c r="H447" s="1">
        <f t="shared" si="19"/>
        <v>7314996</v>
      </c>
      <c r="I447" s="1">
        <f t="shared" si="20"/>
        <v>9378.2000000000007</v>
      </c>
    </row>
    <row r="448" spans="1:9" x14ac:dyDescent="0.3">
      <c r="A448" s="1" t="s">
        <v>465</v>
      </c>
      <c r="B448" s="1" t="s">
        <v>25</v>
      </c>
      <c r="C448" s="1">
        <v>52</v>
      </c>
      <c r="D448" s="1">
        <v>27</v>
      </c>
      <c r="E448" s="1" t="s">
        <v>16</v>
      </c>
      <c r="F448" s="1">
        <v>71507</v>
      </c>
      <c r="G448" s="1" t="str">
        <f t="shared" si="18"/>
        <v>Sufficient</v>
      </c>
      <c r="H448" s="1">
        <f t="shared" si="19"/>
        <v>3718364</v>
      </c>
      <c r="I448" s="1">
        <f t="shared" si="20"/>
        <v>14301.400000000001</v>
      </c>
    </row>
    <row r="449" spans="1:9" x14ac:dyDescent="0.3">
      <c r="A449" s="1" t="s">
        <v>466</v>
      </c>
      <c r="B449" s="1" t="s">
        <v>12</v>
      </c>
      <c r="C449" s="1">
        <v>188</v>
      </c>
      <c r="D449" s="1">
        <v>32</v>
      </c>
      <c r="E449" s="1" t="s">
        <v>10</v>
      </c>
      <c r="F449" s="1">
        <v>37159</v>
      </c>
      <c r="G449" s="1" t="str">
        <f t="shared" si="18"/>
        <v>Sufficient</v>
      </c>
      <c r="H449" s="1">
        <f t="shared" si="19"/>
        <v>6985892</v>
      </c>
      <c r="I449" s="1">
        <f t="shared" si="20"/>
        <v>7431.8</v>
      </c>
    </row>
    <row r="450" spans="1:9" x14ac:dyDescent="0.3">
      <c r="A450" s="1" t="s">
        <v>467</v>
      </c>
      <c r="B450" s="1" t="s">
        <v>15</v>
      </c>
      <c r="C450" s="1">
        <v>95</v>
      </c>
      <c r="D450" s="1">
        <v>36</v>
      </c>
      <c r="E450" s="1" t="s">
        <v>13</v>
      </c>
      <c r="F450" s="1">
        <v>16199</v>
      </c>
      <c r="G450" s="1" t="str">
        <f t="shared" si="18"/>
        <v>Sufficient</v>
      </c>
      <c r="H450" s="1">
        <f t="shared" si="19"/>
        <v>1538905</v>
      </c>
      <c r="I450" s="1">
        <f t="shared" si="20"/>
        <v>3239.8</v>
      </c>
    </row>
    <row r="451" spans="1:9" x14ac:dyDescent="0.3">
      <c r="A451" s="1" t="s">
        <v>468</v>
      </c>
      <c r="B451" s="1" t="s">
        <v>29</v>
      </c>
      <c r="C451" s="1">
        <v>10</v>
      </c>
      <c r="D451" s="1">
        <v>42</v>
      </c>
      <c r="E451" s="1" t="s">
        <v>13</v>
      </c>
      <c r="F451" s="1">
        <v>40488</v>
      </c>
      <c r="G451" s="1" t="str">
        <f t="shared" ref="G451:G514" si="21">IF(C451=0,"Pending",IF(C451&lt;=D451,"Low Stock", "Sufficient"))</f>
        <v>Low Stock</v>
      </c>
      <c r="H451" s="1">
        <f t="shared" ref="H451:H514" si="22">C451*F451</f>
        <v>404880</v>
      </c>
      <c r="I451" s="1">
        <f t="shared" ref="I451:I514" si="23">F451*0.2</f>
        <v>8097.6</v>
      </c>
    </row>
    <row r="452" spans="1:9" x14ac:dyDescent="0.3">
      <c r="A452" s="1" t="s">
        <v>469</v>
      </c>
      <c r="B452" s="1" t="s">
        <v>29</v>
      </c>
      <c r="C452" s="1">
        <v>23</v>
      </c>
      <c r="D452" s="1">
        <v>30</v>
      </c>
      <c r="E452" s="1" t="s">
        <v>10</v>
      </c>
      <c r="F452" s="1">
        <v>48319</v>
      </c>
      <c r="G452" s="1" t="str">
        <f t="shared" si="21"/>
        <v>Low Stock</v>
      </c>
      <c r="H452" s="1">
        <f t="shared" si="22"/>
        <v>1111337</v>
      </c>
      <c r="I452" s="1">
        <f t="shared" si="23"/>
        <v>9663.8000000000011</v>
      </c>
    </row>
    <row r="453" spans="1:9" x14ac:dyDescent="0.3">
      <c r="A453" s="1" t="s">
        <v>470</v>
      </c>
      <c r="B453" s="1" t="s">
        <v>12</v>
      </c>
      <c r="C453" s="1">
        <v>163</v>
      </c>
      <c r="D453" s="1">
        <v>15</v>
      </c>
      <c r="E453" s="1" t="s">
        <v>26</v>
      </c>
      <c r="F453" s="1">
        <v>10262</v>
      </c>
      <c r="G453" s="1" t="str">
        <f t="shared" si="21"/>
        <v>Sufficient</v>
      </c>
      <c r="H453" s="1">
        <f t="shared" si="22"/>
        <v>1672706</v>
      </c>
      <c r="I453" s="1">
        <f t="shared" si="23"/>
        <v>2052.4</v>
      </c>
    </row>
    <row r="454" spans="1:9" x14ac:dyDescent="0.3">
      <c r="A454" s="1" t="s">
        <v>471</v>
      </c>
      <c r="B454" s="1" t="s">
        <v>7</v>
      </c>
      <c r="C454" s="1">
        <v>187</v>
      </c>
      <c r="D454" s="1">
        <v>38</v>
      </c>
      <c r="E454" s="1" t="s">
        <v>26</v>
      </c>
      <c r="F454" s="1">
        <v>71241</v>
      </c>
      <c r="G454" s="1" t="str">
        <f t="shared" si="21"/>
        <v>Sufficient</v>
      </c>
      <c r="H454" s="1">
        <f t="shared" si="22"/>
        <v>13322067</v>
      </c>
      <c r="I454" s="1">
        <f t="shared" si="23"/>
        <v>14248.2</v>
      </c>
    </row>
    <row r="455" spans="1:9" x14ac:dyDescent="0.3">
      <c r="A455" s="1" t="s">
        <v>472</v>
      </c>
      <c r="B455" s="1" t="s">
        <v>7</v>
      </c>
      <c r="C455" s="1">
        <v>125</v>
      </c>
      <c r="D455" s="1">
        <v>38</v>
      </c>
      <c r="E455" s="1" t="s">
        <v>16</v>
      </c>
      <c r="F455" s="1">
        <v>73729</v>
      </c>
      <c r="G455" s="1" t="str">
        <f t="shared" si="21"/>
        <v>Sufficient</v>
      </c>
      <c r="H455" s="1">
        <f t="shared" si="22"/>
        <v>9216125</v>
      </c>
      <c r="I455" s="1">
        <f t="shared" si="23"/>
        <v>14745.800000000001</v>
      </c>
    </row>
    <row r="456" spans="1:9" x14ac:dyDescent="0.3">
      <c r="A456" s="1" t="s">
        <v>473</v>
      </c>
      <c r="B456" s="1" t="s">
        <v>20</v>
      </c>
      <c r="C456" s="1">
        <v>149</v>
      </c>
      <c r="D456" s="1">
        <v>18</v>
      </c>
      <c r="E456" s="1" t="s">
        <v>16</v>
      </c>
      <c r="F456" s="1">
        <v>62688</v>
      </c>
      <c r="G456" s="1" t="str">
        <f t="shared" si="21"/>
        <v>Sufficient</v>
      </c>
      <c r="H456" s="1">
        <f t="shared" si="22"/>
        <v>9340512</v>
      </c>
      <c r="I456" s="1">
        <f t="shared" si="23"/>
        <v>12537.6</v>
      </c>
    </row>
    <row r="457" spans="1:9" x14ac:dyDescent="0.3">
      <c r="A457" s="1" t="s">
        <v>474</v>
      </c>
      <c r="B457" s="1" t="s">
        <v>15</v>
      </c>
      <c r="C457" s="1">
        <v>117</v>
      </c>
      <c r="D457" s="1">
        <v>36</v>
      </c>
      <c r="E457" s="1" t="s">
        <v>10</v>
      </c>
      <c r="F457" s="1">
        <v>49719</v>
      </c>
      <c r="G457" s="1" t="str">
        <f t="shared" si="21"/>
        <v>Sufficient</v>
      </c>
      <c r="H457" s="1">
        <f t="shared" si="22"/>
        <v>5817123</v>
      </c>
      <c r="I457" s="1">
        <f t="shared" si="23"/>
        <v>9943.8000000000011</v>
      </c>
    </row>
    <row r="458" spans="1:9" x14ac:dyDescent="0.3">
      <c r="A458" s="1" t="s">
        <v>475</v>
      </c>
      <c r="B458" s="1" t="s">
        <v>25</v>
      </c>
      <c r="C458" s="1">
        <v>161</v>
      </c>
      <c r="D458" s="1">
        <v>40</v>
      </c>
      <c r="E458" s="1" t="s">
        <v>16</v>
      </c>
      <c r="F458" s="1">
        <v>24794</v>
      </c>
      <c r="G458" s="1" t="str">
        <f t="shared" si="21"/>
        <v>Sufficient</v>
      </c>
      <c r="H458" s="1">
        <f t="shared" si="22"/>
        <v>3991834</v>
      </c>
      <c r="I458" s="1">
        <f t="shared" si="23"/>
        <v>4958.8</v>
      </c>
    </row>
    <row r="459" spans="1:9" x14ac:dyDescent="0.3">
      <c r="A459" s="1" t="s">
        <v>476</v>
      </c>
      <c r="B459" s="1" t="s">
        <v>7</v>
      </c>
      <c r="C459" s="1">
        <v>39</v>
      </c>
      <c r="D459" s="1">
        <v>26</v>
      </c>
      <c r="E459" s="1" t="s">
        <v>26</v>
      </c>
      <c r="F459" s="1">
        <v>34501</v>
      </c>
      <c r="G459" s="1" t="str">
        <f t="shared" si="21"/>
        <v>Sufficient</v>
      </c>
      <c r="H459" s="1">
        <f t="shared" si="22"/>
        <v>1345539</v>
      </c>
      <c r="I459" s="1">
        <f t="shared" si="23"/>
        <v>6900.2000000000007</v>
      </c>
    </row>
    <row r="460" spans="1:9" x14ac:dyDescent="0.3">
      <c r="A460" s="1" t="s">
        <v>477</v>
      </c>
      <c r="B460" s="1" t="s">
        <v>15</v>
      </c>
      <c r="C460" s="1">
        <v>193</v>
      </c>
      <c r="D460" s="1">
        <v>17</v>
      </c>
      <c r="E460" s="1" t="s">
        <v>10</v>
      </c>
      <c r="F460" s="1">
        <v>28104</v>
      </c>
      <c r="G460" s="1" t="str">
        <f t="shared" si="21"/>
        <v>Sufficient</v>
      </c>
      <c r="H460" s="1">
        <f t="shared" si="22"/>
        <v>5424072</v>
      </c>
      <c r="I460" s="1">
        <f t="shared" si="23"/>
        <v>5620.8</v>
      </c>
    </row>
    <row r="461" spans="1:9" x14ac:dyDescent="0.3">
      <c r="A461" s="1" t="s">
        <v>478</v>
      </c>
      <c r="B461" s="1" t="s">
        <v>20</v>
      </c>
      <c r="C461" s="1">
        <v>32</v>
      </c>
      <c r="D461" s="1">
        <v>34</v>
      </c>
      <c r="E461" s="1" t="s">
        <v>26</v>
      </c>
      <c r="F461" s="1">
        <v>65211</v>
      </c>
      <c r="G461" s="1" t="str">
        <f t="shared" si="21"/>
        <v>Low Stock</v>
      </c>
      <c r="H461" s="1">
        <f t="shared" si="22"/>
        <v>2086752</v>
      </c>
      <c r="I461" s="1">
        <f t="shared" si="23"/>
        <v>13042.2</v>
      </c>
    </row>
    <row r="462" spans="1:9" x14ac:dyDescent="0.3">
      <c r="A462" s="1" t="s">
        <v>479</v>
      </c>
      <c r="B462" s="1" t="s">
        <v>7</v>
      </c>
      <c r="C462" s="1">
        <v>183</v>
      </c>
      <c r="D462" s="1">
        <v>10</v>
      </c>
      <c r="E462" s="1" t="s">
        <v>8</v>
      </c>
      <c r="F462" s="1">
        <v>55555</v>
      </c>
      <c r="G462" s="1" t="str">
        <f t="shared" si="21"/>
        <v>Sufficient</v>
      </c>
      <c r="H462" s="1">
        <f t="shared" si="22"/>
        <v>10166565</v>
      </c>
      <c r="I462" s="1">
        <f t="shared" si="23"/>
        <v>11111</v>
      </c>
    </row>
    <row r="463" spans="1:9" x14ac:dyDescent="0.3">
      <c r="A463" s="1" t="s">
        <v>480</v>
      </c>
      <c r="B463" s="1" t="s">
        <v>25</v>
      </c>
      <c r="C463" s="1">
        <v>4</v>
      </c>
      <c r="D463" s="1">
        <v>20</v>
      </c>
      <c r="E463" s="1" t="s">
        <v>10</v>
      </c>
      <c r="F463" s="1">
        <v>1921</v>
      </c>
      <c r="G463" s="1" t="str">
        <f t="shared" si="21"/>
        <v>Low Stock</v>
      </c>
      <c r="H463" s="1">
        <f t="shared" si="22"/>
        <v>7684</v>
      </c>
      <c r="I463" s="1">
        <f t="shared" si="23"/>
        <v>384.20000000000005</v>
      </c>
    </row>
    <row r="464" spans="1:9" x14ac:dyDescent="0.3">
      <c r="A464" s="1" t="s">
        <v>481</v>
      </c>
      <c r="B464" s="1" t="s">
        <v>15</v>
      </c>
      <c r="C464" s="1">
        <v>45</v>
      </c>
      <c r="D464" s="1">
        <v>29</v>
      </c>
      <c r="E464" s="1" t="s">
        <v>8</v>
      </c>
      <c r="F464" s="1">
        <v>61635</v>
      </c>
      <c r="G464" s="1" t="str">
        <f t="shared" si="21"/>
        <v>Sufficient</v>
      </c>
      <c r="H464" s="1">
        <f t="shared" si="22"/>
        <v>2773575</v>
      </c>
      <c r="I464" s="1">
        <f t="shared" si="23"/>
        <v>12327</v>
      </c>
    </row>
    <row r="465" spans="1:9" x14ac:dyDescent="0.3">
      <c r="A465" s="1" t="s">
        <v>482</v>
      </c>
      <c r="B465" s="1" t="s">
        <v>18</v>
      </c>
      <c r="C465" s="1">
        <v>177</v>
      </c>
      <c r="D465" s="1">
        <v>35</v>
      </c>
      <c r="E465" s="1" t="s">
        <v>13</v>
      </c>
      <c r="F465" s="1">
        <v>53523</v>
      </c>
      <c r="G465" s="1" t="str">
        <f t="shared" si="21"/>
        <v>Sufficient</v>
      </c>
      <c r="H465" s="1">
        <f t="shared" si="22"/>
        <v>9473571</v>
      </c>
      <c r="I465" s="1">
        <f t="shared" si="23"/>
        <v>10704.6</v>
      </c>
    </row>
    <row r="466" spans="1:9" x14ac:dyDescent="0.3">
      <c r="A466" s="1" t="s">
        <v>483</v>
      </c>
      <c r="B466" s="1" t="s">
        <v>18</v>
      </c>
      <c r="C466" s="1">
        <v>11</v>
      </c>
      <c r="D466" s="1">
        <v>46</v>
      </c>
      <c r="E466" s="1" t="s">
        <v>8</v>
      </c>
      <c r="F466" s="1">
        <v>67448</v>
      </c>
      <c r="G466" s="1" t="str">
        <f t="shared" si="21"/>
        <v>Low Stock</v>
      </c>
      <c r="H466" s="1">
        <f t="shared" si="22"/>
        <v>741928</v>
      </c>
      <c r="I466" s="1">
        <f t="shared" si="23"/>
        <v>13489.6</v>
      </c>
    </row>
    <row r="467" spans="1:9" x14ac:dyDescent="0.3">
      <c r="A467" s="1" t="s">
        <v>484</v>
      </c>
      <c r="B467" s="1" t="s">
        <v>20</v>
      </c>
      <c r="C467" s="1">
        <v>105</v>
      </c>
      <c r="D467" s="1">
        <v>49</v>
      </c>
      <c r="E467" s="1" t="s">
        <v>8</v>
      </c>
      <c r="F467" s="1">
        <v>60803</v>
      </c>
      <c r="G467" s="1" t="str">
        <f t="shared" si="21"/>
        <v>Sufficient</v>
      </c>
      <c r="H467" s="1">
        <f t="shared" si="22"/>
        <v>6384315</v>
      </c>
      <c r="I467" s="1">
        <f t="shared" si="23"/>
        <v>12160.6</v>
      </c>
    </row>
    <row r="468" spans="1:9" x14ac:dyDescent="0.3">
      <c r="A468" s="1" t="s">
        <v>485</v>
      </c>
      <c r="B468" s="1" t="s">
        <v>18</v>
      </c>
      <c r="C468" s="1">
        <v>43</v>
      </c>
      <c r="D468" s="1">
        <v>40</v>
      </c>
      <c r="E468" s="1" t="s">
        <v>13</v>
      </c>
      <c r="F468" s="1">
        <v>20148</v>
      </c>
      <c r="G468" s="1" t="str">
        <f t="shared" si="21"/>
        <v>Sufficient</v>
      </c>
      <c r="H468" s="1">
        <f t="shared" si="22"/>
        <v>866364</v>
      </c>
      <c r="I468" s="1">
        <f t="shared" si="23"/>
        <v>4029.6000000000004</v>
      </c>
    </row>
    <row r="469" spans="1:9" x14ac:dyDescent="0.3">
      <c r="A469" s="1" t="s">
        <v>486</v>
      </c>
      <c r="B469" s="1" t="s">
        <v>25</v>
      </c>
      <c r="C469" s="1">
        <v>125</v>
      </c>
      <c r="D469" s="1">
        <v>29</v>
      </c>
      <c r="E469" s="1" t="s">
        <v>26</v>
      </c>
      <c r="F469" s="1">
        <v>17893</v>
      </c>
      <c r="G469" s="1" t="str">
        <f t="shared" si="21"/>
        <v>Sufficient</v>
      </c>
      <c r="H469" s="1">
        <f t="shared" si="22"/>
        <v>2236625</v>
      </c>
      <c r="I469" s="1">
        <f t="shared" si="23"/>
        <v>3578.6000000000004</v>
      </c>
    </row>
    <row r="470" spans="1:9" x14ac:dyDescent="0.3">
      <c r="A470" s="1" t="s">
        <v>487</v>
      </c>
      <c r="B470" s="1" t="s">
        <v>23</v>
      </c>
      <c r="C470" s="1">
        <v>67</v>
      </c>
      <c r="D470" s="1">
        <v>40</v>
      </c>
      <c r="E470" s="1" t="s">
        <v>10</v>
      </c>
      <c r="F470" s="1">
        <v>51575</v>
      </c>
      <c r="G470" s="1" t="str">
        <f t="shared" si="21"/>
        <v>Sufficient</v>
      </c>
      <c r="H470" s="1">
        <f t="shared" si="22"/>
        <v>3455525</v>
      </c>
      <c r="I470" s="1">
        <f t="shared" si="23"/>
        <v>10315</v>
      </c>
    </row>
    <row r="471" spans="1:9" x14ac:dyDescent="0.3">
      <c r="A471" s="1" t="s">
        <v>488</v>
      </c>
      <c r="B471" s="1" t="s">
        <v>23</v>
      </c>
      <c r="C471" s="1">
        <v>131</v>
      </c>
      <c r="D471" s="1">
        <v>36</v>
      </c>
      <c r="E471" s="1" t="s">
        <v>13</v>
      </c>
      <c r="F471" s="1">
        <v>53193</v>
      </c>
      <c r="G471" s="1" t="str">
        <f t="shared" si="21"/>
        <v>Sufficient</v>
      </c>
      <c r="H471" s="1">
        <f t="shared" si="22"/>
        <v>6968283</v>
      </c>
      <c r="I471" s="1">
        <f t="shared" si="23"/>
        <v>10638.6</v>
      </c>
    </row>
    <row r="472" spans="1:9" x14ac:dyDescent="0.3">
      <c r="A472" s="1" t="s">
        <v>489</v>
      </c>
      <c r="B472" s="1" t="s">
        <v>12</v>
      </c>
      <c r="C472" s="1">
        <v>162</v>
      </c>
      <c r="D472" s="1">
        <v>48</v>
      </c>
      <c r="E472" s="1" t="s">
        <v>16</v>
      </c>
      <c r="F472" s="1">
        <v>43917</v>
      </c>
      <c r="G472" s="1" t="str">
        <f t="shared" si="21"/>
        <v>Sufficient</v>
      </c>
      <c r="H472" s="1">
        <f t="shared" si="22"/>
        <v>7114554</v>
      </c>
      <c r="I472" s="1">
        <f t="shared" si="23"/>
        <v>8783.4</v>
      </c>
    </row>
    <row r="473" spans="1:9" x14ac:dyDescent="0.3">
      <c r="A473" s="1" t="s">
        <v>490</v>
      </c>
      <c r="B473" s="1" t="s">
        <v>23</v>
      </c>
      <c r="C473" s="1">
        <v>66</v>
      </c>
      <c r="D473" s="1">
        <v>15</v>
      </c>
      <c r="E473" s="1" t="s">
        <v>16</v>
      </c>
      <c r="F473" s="1">
        <v>3373</v>
      </c>
      <c r="G473" s="1" t="str">
        <f t="shared" si="21"/>
        <v>Sufficient</v>
      </c>
      <c r="H473" s="1">
        <f t="shared" si="22"/>
        <v>222618</v>
      </c>
      <c r="I473" s="1">
        <f t="shared" si="23"/>
        <v>674.6</v>
      </c>
    </row>
    <row r="474" spans="1:9" x14ac:dyDescent="0.3">
      <c r="A474" s="1" t="s">
        <v>491</v>
      </c>
      <c r="B474" s="1" t="s">
        <v>23</v>
      </c>
      <c r="C474" s="1">
        <v>63</v>
      </c>
      <c r="D474" s="1">
        <v>10</v>
      </c>
      <c r="E474" s="1" t="s">
        <v>8</v>
      </c>
      <c r="F474" s="1">
        <v>38884</v>
      </c>
      <c r="G474" s="1" t="str">
        <f t="shared" si="21"/>
        <v>Sufficient</v>
      </c>
      <c r="H474" s="1">
        <f t="shared" si="22"/>
        <v>2449692</v>
      </c>
      <c r="I474" s="1">
        <f t="shared" si="23"/>
        <v>7776.8</v>
      </c>
    </row>
    <row r="475" spans="1:9" x14ac:dyDescent="0.3">
      <c r="A475" s="1" t="s">
        <v>492</v>
      </c>
      <c r="B475" s="1" t="s">
        <v>20</v>
      </c>
      <c r="C475" s="1">
        <v>67</v>
      </c>
      <c r="D475" s="1">
        <v>44</v>
      </c>
      <c r="E475" s="1" t="s">
        <v>10</v>
      </c>
      <c r="F475" s="1">
        <v>77957</v>
      </c>
      <c r="G475" s="1" t="str">
        <f t="shared" si="21"/>
        <v>Sufficient</v>
      </c>
      <c r="H475" s="1">
        <f t="shared" si="22"/>
        <v>5223119</v>
      </c>
      <c r="I475" s="1">
        <f t="shared" si="23"/>
        <v>15591.400000000001</v>
      </c>
    </row>
    <row r="476" spans="1:9" x14ac:dyDescent="0.3">
      <c r="A476" s="1" t="s">
        <v>493</v>
      </c>
      <c r="B476" s="1" t="s">
        <v>18</v>
      </c>
      <c r="C476" s="1">
        <v>110</v>
      </c>
      <c r="D476" s="1">
        <v>18</v>
      </c>
      <c r="E476" s="1" t="s">
        <v>13</v>
      </c>
      <c r="F476" s="1">
        <v>75498</v>
      </c>
      <c r="G476" s="1" t="str">
        <f t="shared" si="21"/>
        <v>Sufficient</v>
      </c>
      <c r="H476" s="1">
        <f t="shared" si="22"/>
        <v>8304780</v>
      </c>
      <c r="I476" s="1">
        <f t="shared" si="23"/>
        <v>15099.6</v>
      </c>
    </row>
    <row r="477" spans="1:9" x14ac:dyDescent="0.3">
      <c r="A477" s="1" t="s">
        <v>494</v>
      </c>
      <c r="B477" s="1" t="s">
        <v>12</v>
      </c>
      <c r="C477" s="1">
        <v>174</v>
      </c>
      <c r="D477" s="1">
        <v>27</v>
      </c>
      <c r="E477" s="1" t="s">
        <v>13</v>
      </c>
      <c r="F477" s="1">
        <v>50218</v>
      </c>
      <c r="G477" s="1" t="str">
        <f t="shared" si="21"/>
        <v>Sufficient</v>
      </c>
      <c r="H477" s="1">
        <f t="shared" si="22"/>
        <v>8737932</v>
      </c>
      <c r="I477" s="1">
        <f t="shared" si="23"/>
        <v>10043.6</v>
      </c>
    </row>
    <row r="478" spans="1:9" x14ac:dyDescent="0.3">
      <c r="A478" s="1" t="s">
        <v>495</v>
      </c>
      <c r="B478" s="1" t="s">
        <v>12</v>
      </c>
      <c r="C478" s="1">
        <v>58</v>
      </c>
      <c r="D478" s="1">
        <v>20</v>
      </c>
      <c r="E478" s="1" t="s">
        <v>10</v>
      </c>
      <c r="F478" s="1">
        <v>51012</v>
      </c>
      <c r="G478" s="1" t="str">
        <f t="shared" si="21"/>
        <v>Sufficient</v>
      </c>
      <c r="H478" s="1">
        <f t="shared" si="22"/>
        <v>2958696</v>
      </c>
      <c r="I478" s="1">
        <f t="shared" si="23"/>
        <v>10202.400000000001</v>
      </c>
    </row>
    <row r="479" spans="1:9" x14ac:dyDescent="0.3">
      <c r="A479" s="1" t="s">
        <v>496</v>
      </c>
      <c r="B479" s="1" t="s">
        <v>7</v>
      </c>
      <c r="C479" s="1">
        <v>119</v>
      </c>
      <c r="D479" s="1">
        <v>48</v>
      </c>
      <c r="E479" s="1" t="s">
        <v>10</v>
      </c>
      <c r="F479" s="1">
        <v>18643</v>
      </c>
      <c r="G479" s="1" t="str">
        <f t="shared" si="21"/>
        <v>Sufficient</v>
      </c>
      <c r="H479" s="1">
        <f t="shared" si="22"/>
        <v>2218517</v>
      </c>
      <c r="I479" s="1">
        <f t="shared" si="23"/>
        <v>3728.6000000000004</v>
      </c>
    </row>
    <row r="480" spans="1:9" x14ac:dyDescent="0.3">
      <c r="A480" s="1" t="s">
        <v>497</v>
      </c>
      <c r="B480" s="1" t="s">
        <v>29</v>
      </c>
      <c r="C480" s="1">
        <v>117</v>
      </c>
      <c r="D480" s="1">
        <v>26</v>
      </c>
      <c r="E480" s="1" t="s">
        <v>26</v>
      </c>
      <c r="F480" s="1">
        <v>35716</v>
      </c>
      <c r="G480" s="1" t="str">
        <f t="shared" si="21"/>
        <v>Sufficient</v>
      </c>
      <c r="H480" s="1">
        <f t="shared" si="22"/>
        <v>4178772</v>
      </c>
      <c r="I480" s="1">
        <f t="shared" si="23"/>
        <v>7143.2000000000007</v>
      </c>
    </row>
    <row r="481" spans="1:9" x14ac:dyDescent="0.3">
      <c r="A481" s="1" t="s">
        <v>498</v>
      </c>
      <c r="B481" s="1" t="s">
        <v>25</v>
      </c>
      <c r="C481" s="1">
        <v>137</v>
      </c>
      <c r="D481" s="1">
        <v>13</v>
      </c>
      <c r="E481" s="1" t="s">
        <v>16</v>
      </c>
      <c r="F481" s="1">
        <v>74962</v>
      </c>
      <c r="G481" s="1" t="str">
        <f t="shared" si="21"/>
        <v>Sufficient</v>
      </c>
      <c r="H481" s="1">
        <f t="shared" si="22"/>
        <v>10269794</v>
      </c>
      <c r="I481" s="1">
        <f t="shared" si="23"/>
        <v>14992.400000000001</v>
      </c>
    </row>
    <row r="482" spans="1:9" x14ac:dyDescent="0.3">
      <c r="A482" s="1" t="s">
        <v>499</v>
      </c>
      <c r="B482" s="1" t="s">
        <v>12</v>
      </c>
      <c r="C482" s="1">
        <v>40</v>
      </c>
      <c r="D482" s="1">
        <v>28</v>
      </c>
      <c r="E482" s="1" t="s">
        <v>26</v>
      </c>
      <c r="F482" s="1">
        <v>37070</v>
      </c>
      <c r="G482" s="1" t="str">
        <f t="shared" si="21"/>
        <v>Sufficient</v>
      </c>
      <c r="H482" s="1">
        <f t="shared" si="22"/>
        <v>1482800</v>
      </c>
      <c r="I482" s="1">
        <f t="shared" si="23"/>
        <v>7414</v>
      </c>
    </row>
    <row r="483" spans="1:9" x14ac:dyDescent="0.3">
      <c r="A483" s="1" t="s">
        <v>500</v>
      </c>
      <c r="B483" s="1" t="s">
        <v>12</v>
      </c>
      <c r="C483" s="1">
        <v>179</v>
      </c>
      <c r="D483" s="1">
        <v>22</v>
      </c>
      <c r="E483" s="1" t="s">
        <v>10</v>
      </c>
      <c r="F483" s="1">
        <v>70039</v>
      </c>
      <c r="G483" s="1" t="str">
        <f t="shared" si="21"/>
        <v>Sufficient</v>
      </c>
      <c r="H483" s="1">
        <f t="shared" si="22"/>
        <v>12536981</v>
      </c>
      <c r="I483" s="1">
        <f t="shared" si="23"/>
        <v>14007.800000000001</v>
      </c>
    </row>
    <row r="484" spans="1:9" x14ac:dyDescent="0.3">
      <c r="A484" s="1" t="s">
        <v>501</v>
      </c>
      <c r="B484" s="1" t="s">
        <v>12</v>
      </c>
      <c r="C484" s="1">
        <v>77</v>
      </c>
      <c r="D484" s="1">
        <v>12</v>
      </c>
      <c r="E484" s="1" t="s">
        <v>8</v>
      </c>
      <c r="F484" s="1">
        <v>4479</v>
      </c>
      <c r="G484" s="1" t="str">
        <f t="shared" si="21"/>
        <v>Sufficient</v>
      </c>
      <c r="H484" s="1">
        <f t="shared" si="22"/>
        <v>344883</v>
      </c>
      <c r="I484" s="1">
        <f t="shared" si="23"/>
        <v>895.80000000000007</v>
      </c>
    </row>
    <row r="485" spans="1:9" x14ac:dyDescent="0.3">
      <c r="A485" s="1" t="s">
        <v>502</v>
      </c>
      <c r="B485" s="1" t="s">
        <v>18</v>
      </c>
      <c r="C485" s="1">
        <v>119</v>
      </c>
      <c r="D485" s="1">
        <v>24</v>
      </c>
      <c r="E485" s="1" t="s">
        <v>10</v>
      </c>
      <c r="F485" s="1">
        <v>22216</v>
      </c>
      <c r="G485" s="1" t="str">
        <f t="shared" si="21"/>
        <v>Sufficient</v>
      </c>
      <c r="H485" s="1">
        <f t="shared" si="22"/>
        <v>2643704</v>
      </c>
      <c r="I485" s="1">
        <f t="shared" si="23"/>
        <v>4443.2</v>
      </c>
    </row>
    <row r="486" spans="1:9" x14ac:dyDescent="0.3">
      <c r="A486" s="1" t="s">
        <v>503</v>
      </c>
      <c r="B486" s="1" t="s">
        <v>20</v>
      </c>
      <c r="C486" s="1">
        <v>80</v>
      </c>
      <c r="D486" s="1">
        <v>47</v>
      </c>
      <c r="E486" s="1" t="s">
        <v>10</v>
      </c>
      <c r="F486" s="1">
        <v>56992</v>
      </c>
      <c r="G486" s="1" t="str">
        <f t="shared" si="21"/>
        <v>Sufficient</v>
      </c>
      <c r="H486" s="1">
        <f t="shared" si="22"/>
        <v>4559360</v>
      </c>
      <c r="I486" s="1">
        <f t="shared" si="23"/>
        <v>11398.400000000001</v>
      </c>
    </row>
    <row r="487" spans="1:9" x14ac:dyDescent="0.3">
      <c r="A487" s="1" t="s">
        <v>504</v>
      </c>
      <c r="B487" s="1" t="s">
        <v>18</v>
      </c>
      <c r="C487" s="1">
        <v>78</v>
      </c>
      <c r="D487" s="1">
        <v>40</v>
      </c>
      <c r="E487" s="1" t="s">
        <v>10</v>
      </c>
      <c r="F487" s="1">
        <v>16272</v>
      </c>
      <c r="G487" s="1" t="str">
        <f t="shared" si="21"/>
        <v>Sufficient</v>
      </c>
      <c r="H487" s="1">
        <f t="shared" si="22"/>
        <v>1269216</v>
      </c>
      <c r="I487" s="1">
        <f t="shared" si="23"/>
        <v>3254.4</v>
      </c>
    </row>
    <row r="488" spans="1:9" x14ac:dyDescent="0.3">
      <c r="A488" s="1" t="s">
        <v>505</v>
      </c>
      <c r="B488" s="1" t="s">
        <v>15</v>
      </c>
      <c r="C488" s="1">
        <v>106</v>
      </c>
      <c r="D488" s="1">
        <v>47</v>
      </c>
      <c r="E488" s="1" t="s">
        <v>16</v>
      </c>
      <c r="F488" s="1">
        <v>26040</v>
      </c>
      <c r="G488" s="1" t="str">
        <f t="shared" si="21"/>
        <v>Sufficient</v>
      </c>
      <c r="H488" s="1">
        <f t="shared" si="22"/>
        <v>2760240</v>
      </c>
      <c r="I488" s="1">
        <f t="shared" si="23"/>
        <v>5208</v>
      </c>
    </row>
    <row r="489" spans="1:9" x14ac:dyDescent="0.3">
      <c r="A489" s="1" t="s">
        <v>506</v>
      </c>
      <c r="B489" s="1" t="s">
        <v>12</v>
      </c>
      <c r="C489" s="1">
        <v>16</v>
      </c>
      <c r="D489" s="1">
        <v>47</v>
      </c>
      <c r="E489" s="1" t="s">
        <v>10</v>
      </c>
      <c r="F489" s="1">
        <v>41834</v>
      </c>
      <c r="G489" s="1" t="str">
        <f t="shared" si="21"/>
        <v>Low Stock</v>
      </c>
      <c r="H489" s="1">
        <f t="shared" si="22"/>
        <v>669344</v>
      </c>
      <c r="I489" s="1">
        <f t="shared" si="23"/>
        <v>8366.8000000000011</v>
      </c>
    </row>
    <row r="490" spans="1:9" x14ac:dyDescent="0.3">
      <c r="A490" s="1" t="s">
        <v>507</v>
      </c>
      <c r="B490" s="1" t="s">
        <v>29</v>
      </c>
      <c r="C490" s="1">
        <v>104</v>
      </c>
      <c r="D490" s="1">
        <v>17</v>
      </c>
      <c r="E490" s="1" t="s">
        <v>13</v>
      </c>
      <c r="F490" s="1">
        <v>72489</v>
      </c>
      <c r="G490" s="1" t="str">
        <f t="shared" si="21"/>
        <v>Sufficient</v>
      </c>
      <c r="H490" s="1">
        <f t="shared" si="22"/>
        <v>7538856</v>
      </c>
      <c r="I490" s="1">
        <f t="shared" si="23"/>
        <v>14497.800000000001</v>
      </c>
    </row>
    <row r="491" spans="1:9" x14ac:dyDescent="0.3">
      <c r="A491" s="1" t="s">
        <v>508</v>
      </c>
      <c r="B491" s="1" t="s">
        <v>23</v>
      </c>
      <c r="C491" s="1">
        <v>65</v>
      </c>
      <c r="D491" s="1">
        <v>11</v>
      </c>
      <c r="E491" s="1" t="s">
        <v>10</v>
      </c>
      <c r="F491" s="1">
        <v>67061</v>
      </c>
      <c r="G491" s="1" t="str">
        <f t="shared" si="21"/>
        <v>Sufficient</v>
      </c>
      <c r="H491" s="1">
        <f t="shared" si="22"/>
        <v>4358965</v>
      </c>
      <c r="I491" s="1">
        <f t="shared" si="23"/>
        <v>13412.2</v>
      </c>
    </row>
    <row r="492" spans="1:9" x14ac:dyDescent="0.3">
      <c r="A492" s="1" t="s">
        <v>509</v>
      </c>
      <c r="B492" s="1" t="s">
        <v>23</v>
      </c>
      <c r="C492" s="1">
        <v>177</v>
      </c>
      <c r="D492" s="1">
        <v>44</v>
      </c>
      <c r="E492" s="1" t="s">
        <v>16</v>
      </c>
      <c r="F492" s="1">
        <v>71534</v>
      </c>
      <c r="G492" s="1" t="str">
        <f t="shared" si="21"/>
        <v>Sufficient</v>
      </c>
      <c r="H492" s="1">
        <f t="shared" si="22"/>
        <v>12661518</v>
      </c>
      <c r="I492" s="1">
        <f t="shared" si="23"/>
        <v>14306.800000000001</v>
      </c>
    </row>
    <row r="493" spans="1:9" x14ac:dyDescent="0.3">
      <c r="A493" s="1" t="s">
        <v>510</v>
      </c>
      <c r="B493" s="1" t="s">
        <v>25</v>
      </c>
      <c r="C493" s="1">
        <v>36</v>
      </c>
      <c r="D493" s="1">
        <v>35</v>
      </c>
      <c r="E493" s="1" t="s">
        <v>16</v>
      </c>
      <c r="F493" s="1">
        <v>61203</v>
      </c>
      <c r="G493" s="1" t="str">
        <f t="shared" si="21"/>
        <v>Sufficient</v>
      </c>
      <c r="H493" s="1">
        <f t="shared" si="22"/>
        <v>2203308</v>
      </c>
      <c r="I493" s="1">
        <f t="shared" si="23"/>
        <v>12240.6</v>
      </c>
    </row>
    <row r="494" spans="1:9" x14ac:dyDescent="0.3">
      <c r="A494" s="1" t="s">
        <v>511</v>
      </c>
      <c r="B494" s="1" t="s">
        <v>7</v>
      </c>
      <c r="C494" s="1">
        <v>156</v>
      </c>
      <c r="D494" s="1">
        <v>44</v>
      </c>
      <c r="E494" s="1" t="s">
        <v>10</v>
      </c>
      <c r="F494" s="1">
        <v>60611</v>
      </c>
      <c r="G494" s="1" t="str">
        <f t="shared" si="21"/>
        <v>Sufficient</v>
      </c>
      <c r="H494" s="1">
        <f t="shared" si="22"/>
        <v>9455316</v>
      </c>
      <c r="I494" s="1">
        <f t="shared" si="23"/>
        <v>12122.2</v>
      </c>
    </row>
    <row r="495" spans="1:9" x14ac:dyDescent="0.3">
      <c r="A495" s="1" t="s">
        <v>512</v>
      </c>
      <c r="B495" s="1" t="s">
        <v>7</v>
      </c>
      <c r="C495" s="1">
        <v>15</v>
      </c>
      <c r="D495" s="1">
        <v>26</v>
      </c>
      <c r="E495" s="1" t="s">
        <v>26</v>
      </c>
      <c r="F495" s="1">
        <v>2803</v>
      </c>
      <c r="G495" s="1" t="str">
        <f t="shared" si="21"/>
        <v>Low Stock</v>
      </c>
      <c r="H495" s="1">
        <f t="shared" si="22"/>
        <v>42045</v>
      </c>
      <c r="I495" s="1">
        <f t="shared" si="23"/>
        <v>560.6</v>
      </c>
    </row>
    <row r="496" spans="1:9" x14ac:dyDescent="0.3">
      <c r="A496" s="1" t="s">
        <v>513</v>
      </c>
      <c r="B496" s="1" t="s">
        <v>18</v>
      </c>
      <c r="C496" s="1">
        <v>184</v>
      </c>
      <c r="D496" s="1">
        <v>36</v>
      </c>
      <c r="E496" s="1" t="s">
        <v>13</v>
      </c>
      <c r="F496" s="1">
        <v>48366</v>
      </c>
      <c r="G496" s="1" t="str">
        <f t="shared" si="21"/>
        <v>Sufficient</v>
      </c>
      <c r="H496" s="1">
        <f t="shared" si="22"/>
        <v>8899344</v>
      </c>
      <c r="I496" s="1">
        <f t="shared" si="23"/>
        <v>9673.2000000000007</v>
      </c>
    </row>
    <row r="497" spans="1:9" x14ac:dyDescent="0.3">
      <c r="A497" s="1" t="s">
        <v>514</v>
      </c>
      <c r="B497" s="1" t="s">
        <v>18</v>
      </c>
      <c r="C497" s="1">
        <v>75</v>
      </c>
      <c r="D497" s="1">
        <v>24</v>
      </c>
      <c r="E497" s="1" t="s">
        <v>26</v>
      </c>
      <c r="F497" s="1">
        <v>78537</v>
      </c>
      <c r="G497" s="1" t="str">
        <f t="shared" si="21"/>
        <v>Sufficient</v>
      </c>
      <c r="H497" s="1">
        <f t="shared" si="22"/>
        <v>5890275</v>
      </c>
      <c r="I497" s="1">
        <f t="shared" si="23"/>
        <v>15707.400000000001</v>
      </c>
    </row>
    <row r="498" spans="1:9" x14ac:dyDescent="0.3">
      <c r="A498" s="1" t="s">
        <v>515</v>
      </c>
      <c r="B498" s="1" t="s">
        <v>29</v>
      </c>
      <c r="C498" s="1">
        <v>63</v>
      </c>
      <c r="D498" s="1">
        <v>37</v>
      </c>
      <c r="E498" s="1" t="s">
        <v>26</v>
      </c>
      <c r="F498" s="1">
        <v>73461</v>
      </c>
      <c r="G498" s="1" t="str">
        <f t="shared" si="21"/>
        <v>Sufficient</v>
      </c>
      <c r="H498" s="1">
        <f t="shared" si="22"/>
        <v>4628043</v>
      </c>
      <c r="I498" s="1">
        <f t="shared" si="23"/>
        <v>14692.2</v>
      </c>
    </row>
    <row r="499" spans="1:9" x14ac:dyDescent="0.3">
      <c r="A499" s="1" t="s">
        <v>516</v>
      </c>
      <c r="B499" s="1" t="s">
        <v>12</v>
      </c>
      <c r="C499" s="1">
        <v>196</v>
      </c>
      <c r="D499" s="1">
        <v>11</v>
      </c>
      <c r="E499" s="1" t="s">
        <v>10</v>
      </c>
      <c r="F499" s="1">
        <v>6606</v>
      </c>
      <c r="G499" s="1" t="str">
        <f t="shared" si="21"/>
        <v>Sufficient</v>
      </c>
      <c r="H499" s="1">
        <f t="shared" si="22"/>
        <v>1294776</v>
      </c>
      <c r="I499" s="1">
        <f t="shared" si="23"/>
        <v>1321.2</v>
      </c>
    </row>
    <row r="500" spans="1:9" x14ac:dyDescent="0.3">
      <c r="A500" s="1" t="s">
        <v>517</v>
      </c>
      <c r="B500" s="1" t="s">
        <v>29</v>
      </c>
      <c r="C500" s="1">
        <v>169</v>
      </c>
      <c r="D500" s="1">
        <v>21</v>
      </c>
      <c r="E500" s="1" t="s">
        <v>10</v>
      </c>
      <c r="F500" s="1">
        <v>71964</v>
      </c>
      <c r="G500" s="1" t="str">
        <f t="shared" si="21"/>
        <v>Sufficient</v>
      </c>
      <c r="H500" s="1">
        <f t="shared" si="22"/>
        <v>12161916</v>
      </c>
      <c r="I500" s="1">
        <f t="shared" si="23"/>
        <v>14392.800000000001</v>
      </c>
    </row>
    <row r="501" spans="1:9" x14ac:dyDescent="0.3">
      <c r="A501" s="1" t="s">
        <v>518</v>
      </c>
      <c r="B501" s="1" t="s">
        <v>29</v>
      </c>
      <c r="C501" s="1">
        <v>40</v>
      </c>
      <c r="D501" s="1">
        <v>49</v>
      </c>
      <c r="E501" s="1" t="s">
        <v>13</v>
      </c>
      <c r="F501" s="1">
        <v>52587</v>
      </c>
      <c r="G501" s="1" t="str">
        <f t="shared" si="21"/>
        <v>Low Stock</v>
      </c>
      <c r="H501" s="1">
        <f t="shared" si="22"/>
        <v>2103480</v>
      </c>
      <c r="I501" s="1">
        <f t="shared" si="23"/>
        <v>10517.400000000001</v>
      </c>
    </row>
    <row r="502" spans="1:9" x14ac:dyDescent="0.3">
      <c r="A502" s="1" t="s">
        <v>519</v>
      </c>
      <c r="B502" s="1" t="s">
        <v>29</v>
      </c>
      <c r="C502" s="1">
        <v>198</v>
      </c>
      <c r="D502" s="1">
        <v>34</v>
      </c>
      <c r="E502" s="1" t="s">
        <v>13</v>
      </c>
      <c r="F502" s="1">
        <v>47402</v>
      </c>
      <c r="G502" s="1" t="str">
        <f t="shared" si="21"/>
        <v>Sufficient</v>
      </c>
      <c r="H502" s="1">
        <f t="shared" si="22"/>
        <v>9385596</v>
      </c>
      <c r="I502" s="1">
        <f t="shared" si="23"/>
        <v>9480.4</v>
      </c>
    </row>
    <row r="503" spans="1:9" x14ac:dyDescent="0.3">
      <c r="A503" s="1" t="s">
        <v>520</v>
      </c>
      <c r="B503" s="1" t="s">
        <v>12</v>
      </c>
      <c r="C503" s="1">
        <v>34</v>
      </c>
      <c r="D503" s="1">
        <v>36</v>
      </c>
      <c r="E503" s="1" t="s">
        <v>26</v>
      </c>
      <c r="F503" s="1">
        <v>54501</v>
      </c>
      <c r="G503" s="1" t="str">
        <f t="shared" si="21"/>
        <v>Low Stock</v>
      </c>
      <c r="H503" s="1">
        <f t="shared" si="22"/>
        <v>1853034</v>
      </c>
      <c r="I503" s="1">
        <f t="shared" si="23"/>
        <v>10900.2</v>
      </c>
    </row>
    <row r="504" spans="1:9" x14ac:dyDescent="0.3">
      <c r="A504" s="1" t="s">
        <v>521</v>
      </c>
      <c r="B504" s="1" t="s">
        <v>25</v>
      </c>
      <c r="C504" s="1">
        <v>69</v>
      </c>
      <c r="D504" s="1">
        <v>11</v>
      </c>
      <c r="E504" s="1" t="s">
        <v>13</v>
      </c>
      <c r="F504" s="1">
        <v>40510</v>
      </c>
      <c r="G504" s="1" t="str">
        <f t="shared" si="21"/>
        <v>Sufficient</v>
      </c>
      <c r="H504" s="1">
        <f t="shared" si="22"/>
        <v>2795190</v>
      </c>
      <c r="I504" s="1">
        <f t="shared" si="23"/>
        <v>8102</v>
      </c>
    </row>
    <row r="505" spans="1:9" x14ac:dyDescent="0.3">
      <c r="A505" s="1" t="s">
        <v>522</v>
      </c>
      <c r="B505" s="1" t="s">
        <v>25</v>
      </c>
      <c r="C505" s="1">
        <v>102</v>
      </c>
      <c r="D505" s="1">
        <v>38</v>
      </c>
      <c r="E505" s="1" t="s">
        <v>26</v>
      </c>
      <c r="F505" s="1">
        <v>64054</v>
      </c>
      <c r="G505" s="1" t="str">
        <f t="shared" si="21"/>
        <v>Sufficient</v>
      </c>
      <c r="H505" s="1">
        <f t="shared" si="22"/>
        <v>6533508</v>
      </c>
      <c r="I505" s="1">
        <f t="shared" si="23"/>
        <v>12810.800000000001</v>
      </c>
    </row>
    <row r="506" spans="1:9" x14ac:dyDescent="0.3">
      <c r="A506" s="1" t="s">
        <v>523</v>
      </c>
      <c r="B506" s="1" t="s">
        <v>15</v>
      </c>
      <c r="C506" s="1">
        <v>190</v>
      </c>
      <c r="D506" s="1">
        <v>36</v>
      </c>
      <c r="E506" s="1" t="s">
        <v>8</v>
      </c>
      <c r="F506" s="1">
        <v>68978</v>
      </c>
      <c r="G506" s="1" t="str">
        <f t="shared" si="21"/>
        <v>Sufficient</v>
      </c>
      <c r="H506" s="1">
        <f t="shared" si="22"/>
        <v>13105820</v>
      </c>
      <c r="I506" s="1">
        <f t="shared" si="23"/>
        <v>13795.6</v>
      </c>
    </row>
    <row r="507" spans="1:9" x14ac:dyDescent="0.3">
      <c r="A507" s="1" t="s">
        <v>524</v>
      </c>
      <c r="B507" s="1" t="s">
        <v>23</v>
      </c>
      <c r="C507" s="1">
        <v>82</v>
      </c>
      <c r="D507" s="1">
        <v>25</v>
      </c>
      <c r="E507" s="1" t="s">
        <v>16</v>
      </c>
      <c r="F507" s="1">
        <v>55592</v>
      </c>
      <c r="G507" s="1" t="str">
        <f t="shared" si="21"/>
        <v>Sufficient</v>
      </c>
      <c r="H507" s="1">
        <f t="shared" si="22"/>
        <v>4558544</v>
      </c>
      <c r="I507" s="1">
        <f t="shared" si="23"/>
        <v>11118.400000000001</v>
      </c>
    </row>
    <row r="508" spans="1:9" x14ac:dyDescent="0.3">
      <c r="A508" s="1" t="s">
        <v>525</v>
      </c>
      <c r="B508" s="1" t="s">
        <v>7</v>
      </c>
      <c r="C508" s="1">
        <v>45</v>
      </c>
      <c r="D508" s="1">
        <v>32</v>
      </c>
      <c r="E508" s="1" t="s">
        <v>10</v>
      </c>
      <c r="F508" s="1">
        <v>66489</v>
      </c>
      <c r="G508" s="1" t="str">
        <f t="shared" si="21"/>
        <v>Sufficient</v>
      </c>
      <c r="H508" s="1">
        <f t="shared" si="22"/>
        <v>2992005</v>
      </c>
      <c r="I508" s="1">
        <f t="shared" si="23"/>
        <v>13297.800000000001</v>
      </c>
    </row>
    <row r="509" spans="1:9" x14ac:dyDescent="0.3">
      <c r="A509" s="1" t="s">
        <v>526</v>
      </c>
      <c r="B509" s="1" t="s">
        <v>23</v>
      </c>
      <c r="C509" s="1">
        <v>67</v>
      </c>
      <c r="D509" s="1">
        <v>48</v>
      </c>
      <c r="E509" s="1" t="s">
        <v>16</v>
      </c>
      <c r="F509" s="1">
        <v>50605</v>
      </c>
      <c r="G509" s="1" t="str">
        <f t="shared" si="21"/>
        <v>Sufficient</v>
      </c>
      <c r="H509" s="1">
        <f t="shared" si="22"/>
        <v>3390535</v>
      </c>
      <c r="I509" s="1">
        <f t="shared" si="23"/>
        <v>10121</v>
      </c>
    </row>
    <row r="510" spans="1:9" x14ac:dyDescent="0.3">
      <c r="A510" s="1" t="s">
        <v>527</v>
      </c>
      <c r="B510" s="1" t="s">
        <v>23</v>
      </c>
      <c r="C510" s="1">
        <v>26</v>
      </c>
      <c r="D510" s="1">
        <v>11</v>
      </c>
      <c r="E510" s="1" t="s">
        <v>13</v>
      </c>
      <c r="F510" s="1">
        <v>30168</v>
      </c>
      <c r="G510" s="1" t="str">
        <f t="shared" si="21"/>
        <v>Sufficient</v>
      </c>
      <c r="H510" s="1">
        <f t="shared" si="22"/>
        <v>784368</v>
      </c>
      <c r="I510" s="1">
        <f t="shared" si="23"/>
        <v>6033.6</v>
      </c>
    </row>
    <row r="511" spans="1:9" x14ac:dyDescent="0.3">
      <c r="A511" s="1" t="s">
        <v>528</v>
      </c>
      <c r="B511" s="1" t="s">
        <v>20</v>
      </c>
      <c r="C511" s="1">
        <v>92</v>
      </c>
      <c r="D511" s="1">
        <v>30</v>
      </c>
      <c r="E511" s="1" t="s">
        <v>16</v>
      </c>
      <c r="F511" s="1">
        <v>23853</v>
      </c>
      <c r="G511" s="1" t="str">
        <f t="shared" si="21"/>
        <v>Sufficient</v>
      </c>
      <c r="H511" s="1">
        <f t="shared" si="22"/>
        <v>2194476</v>
      </c>
      <c r="I511" s="1">
        <f t="shared" si="23"/>
        <v>4770.6000000000004</v>
      </c>
    </row>
    <row r="512" spans="1:9" x14ac:dyDescent="0.3">
      <c r="A512" s="1" t="s">
        <v>529</v>
      </c>
      <c r="B512" s="1" t="s">
        <v>7</v>
      </c>
      <c r="C512" s="1">
        <v>144</v>
      </c>
      <c r="D512" s="1">
        <v>49</v>
      </c>
      <c r="E512" s="1" t="s">
        <v>8</v>
      </c>
      <c r="F512" s="1">
        <v>41961</v>
      </c>
      <c r="G512" s="1" t="str">
        <f t="shared" si="21"/>
        <v>Sufficient</v>
      </c>
      <c r="H512" s="1">
        <f t="shared" si="22"/>
        <v>6042384</v>
      </c>
      <c r="I512" s="1">
        <f t="shared" si="23"/>
        <v>8392.2000000000007</v>
      </c>
    </row>
    <row r="513" spans="1:9" x14ac:dyDescent="0.3">
      <c r="A513" s="1" t="s">
        <v>530</v>
      </c>
      <c r="B513" s="1" t="s">
        <v>12</v>
      </c>
      <c r="C513" s="1">
        <v>91</v>
      </c>
      <c r="D513" s="1">
        <v>34</v>
      </c>
      <c r="E513" s="1" t="s">
        <v>10</v>
      </c>
      <c r="F513" s="1">
        <v>14244</v>
      </c>
      <c r="G513" s="1" t="str">
        <f t="shared" si="21"/>
        <v>Sufficient</v>
      </c>
      <c r="H513" s="1">
        <f t="shared" si="22"/>
        <v>1296204</v>
      </c>
      <c r="I513" s="1">
        <f t="shared" si="23"/>
        <v>2848.8</v>
      </c>
    </row>
    <row r="514" spans="1:9" x14ac:dyDescent="0.3">
      <c r="A514" s="1" t="s">
        <v>531</v>
      </c>
      <c r="B514" s="1" t="s">
        <v>18</v>
      </c>
      <c r="C514" s="1">
        <v>52</v>
      </c>
      <c r="D514" s="1">
        <v>24</v>
      </c>
      <c r="E514" s="1" t="s">
        <v>26</v>
      </c>
      <c r="F514" s="1">
        <v>33508</v>
      </c>
      <c r="G514" s="1" t="str">
        <f t="shared" si="21"/>
        <v>Sufficient</v>
      </c>
      <c r="H514" s="1">
        <f t="shared" si="22"/>
        <v>1742416</v>
      </c>
      <c r="I514" s="1">
        <f t="shared" si="23"/>
        <v>6701.6</v>
      </c>
    </row>
    <row r="515" spans="1:9" x14ac:dyDescent="0.3">
      <c r="A515" s="1" t="s">
        <v>532</v>
      </c>
      <c r="B515" s="1" t="s">
        <v>12</v>
      </c>
      <c r="C515" s="1">
        <v>54</v>
      </c>
      <c r="D515" s="1">
        <v>14</v>
      </c>
      <c r="E515" s="1" t="s">
        <v>10</v>
      </c>
      <c r="F515" s="1">
        <v>73431</v>
      </c>
      <c r="G515" s="1" t="str">
        <f t="shared" ref="G515:G578" si="24">IF(C515=0,"Pending",IF(C515&lt;=D515,"Low Stock", "Sufficient"))</f>
        <v>Sufficient</v>
      </c>
      <c r="H515" s="1">
        <f t="shared" ref="H515:H578" si="25">C515*F515</f>
        <v>3965274</v>
      </c>
      <c r="I515" s="1">
        <f t="shared" ref="I515:I578" si="26">F515*0.2</f>
        <v>14686.2</v>
      </c>
    </row>
    <row r="516" spans="1:9" x14ac:dyDescent="0.3">
      <c r="A516" s="1" t="s">
        <v>533</v>
      </c>
      <c r="B516" s="1" t="s">
        <v>7</v>
      </c>
      <c r="C516" s="1">
        <v>52</v>
      </c>
      <c r="D516" s="1">
        <v>29</v>
      </c>
      <c r="E516" s="1" t="s">
        <v>13</v>
      </c>
      <c r="F516" s="1">
        <v>51540</v>
      </c>
      <c r="G516" s="1" t="str">
        <f t="shared" si="24"/>
        <v>Sufficient</v>
      </c>
      <c r="H516" s="1">
        <f t="shared" si="25"/>
        <v>2680080</v>
      </c>
      <c r="I516" s="1">
        <f t="shared" si="26"/>
        <v>10308</v>
      </c>
    </row>
    <row r="517" spans="1:9" x14ac:dyDescent="0.3">
      <c r="A517" s="1" t="s">
        <v>534</v>
      </c>
      <c r="B517" s="1" t="s">
        <v>25</v>
      </c>
      <c r="C517" s="1">
        <v>77</v>
      </c>
      <c r="D517" s="1">
        <v>28</v>
      </c>
      <c r="E517" s="1" t="s">
        <v>16</v>
      </c>
      <c r="F517" s="1">
        <v>14149</v>
      </c>
      <c r="G517" s="1" t="str">
        <f t="shared" si="24"/>
        <v>Sufficient</v>
      </c>
      <c r="H517" s="1">
        <f t="shared" si="25"/>
        <v>1089473</v>
      </c>
      <c r="I517" s="1">
        <f t="shared" si="26"/>
        <v>2829.8</v>
      </c>
    </row>
    <row r="518" spans="1:9" x14ac:dyDescent="0.3">
      <c r="A518" s="1" t="s">
        <v>535</v>
      </c>
      <c r="B518" s="1" t="s">
        <v>18</v>
      </c>
      <c r="C518" s="1">
        <v>54</v>
      </c>
      <c r="D518" s="1">
        <v>34</v>
      </c>
      <c r="E518" s="1" t="s">
        <v>13</v>
      </c>
      <c r="F518" s="1">
        <v>15342</v>
      </c>
      <c r="G518" s="1" t="str">
        <f t="shared" si="24"/>
        <v>Sufficient</v>
      </c>
      <c r="H518" s="1">
        <f t="shared" si="25"/>
        <v>828468</v>
      </c>
      <c r="I518" s="1">
        <f t="shared" si="26"/>
        <v>3068.4</v>
      </c>
    </row>
    <row r="519" spans="1:9" x14ac:dyDescent="0.3">
      <c r="A519" s="1" t="s">
        <v>536</v>
      </c>
      <c r="B519" s="1" t="s">
        <v>12</v>
      </c>
      <c r="C519" s="1">
        <v>133</v>
      </c>
      <c r="D519" s="1">
        <v>26</v>
      </c>
      <c r="E519" s="1" t="s">
        <v>8</v>
      </c>
      <c r="F519" s="1">
        <v>44214</v>
      </c>
      <c r="G519" s="1" t="str">
        <f t="shared" si="24"/>
        <v>Sufficient</v>
      </c>
      <c r="H519" s="1">
        <f t="shared" si="25"/>
        <v>5880462</v>
      </c>
      <c r="I519" s="1">
        <f t="shared" si="26"/>
        <v>8842.8000000000011</v>
      </c>
    </row>
    <row r="520" spans="1:9" x14ac:dyDescent="0.3">
      <c r="A520" s="1" t="s">
        <v>537</v>
      </c>
      <c r="B520" s="1" t="s">
        <v>25</v>
      </c>
      <c r="C520" s="1">
        <v>162</v>
      </c>
      <c r="D520" s="1">
        <v>23</v>
      </c>
      <c r="E520" s="1" t="s">
        <v>16</v>
      </c>
      <c r="F520" s="1">
        <v>45025</v>
      </c>
      <c r="G520" s="1" t="str">
        <f t="shared" si="24"/>
        <v>Sufficient</v>
      </c>
      <c r="H520" s="1">
        <f t="shared" si="25"/>
        <v>7294050</v>
      </c>
      <c r="I520" s="1">
        <f t="shared" si="26"/>
        <v>9005</v>
      </c>
    </row>
    <row r="521" spans="1:9" x14ac:dyDescent="0.3">
      <c r="A521" s="1" t="s">
        <v>538</v>
      </c>
      <c r="B521" s="1" t="s">
        <v>23</v>
      </c>
      <c r="C521" s="1">
        <v>105</v>
      </c>
      <c r="D521" s="1">
        <v>30</v>
      </c>
      <c r="E521" s="1" t="s">
        <v>8</v>
      </c>
      <c r="F521" s="1">
        <v>46321</v>
      </c>
      <c r="G521" s="1" t="str">
        <f t="shared" si="24"/>
        <v>Sufficient</v>
      </c>
      <c r="H521" s="1">
        <f t="shared" si="25"/>
        <v>4863705</v>
      </c>
      <c r="I521" s="1">
        <f t="shared" si="26"/>
        <v>9264.2000000000007</v>
      </c>
    </row>
    <row r="522" spans="1:9" x14ac:dyDescent="0.3">
      <c r="A522" s="1" t="s">
        <v>539</v>
      </c>
      <c r="B522" s="1" t="s">
        <v>20</v>
      </c>
      <c r="C522" s="1">
        <v>194</v>
      </c>
      <c r="D522" s="1">
        <v>23</v>
      </c>
      <c r="E522" s="1" t="s">
        <v>10</v>
      </c>
      <c r="F522" s="1">
        <v>24504</v>
      </c>
      <c r="G522" s="1" t="str">
        <f t="shared" si="24"/>
        <v>Sufficient</v>
      </c>
      <c r="H522" s="1">
        <f t="shared" si="25"/>
        <v>4753776</v>
      </c>
      <c r="I522" s="1">
        <f t="shared" si="26"/>
        <v>4900.8</v>
      </c>
    </row>
    <row r="523" spans="1:9" x14ac:dyDescent="0.3">
      <c r="A523" s="1" t="s">
        <v>540</v>
      </c>
      <c r="B523" s="1" t="s">
        <v>25</v>
      </c>
      <c r="C523" s="1">
        <v>53</v>
      </c>
      <c r="D523" s="1">
        <v>39</v>
      </c>
      <c r="E523" s="1" t="s">
        <v>13</v>
      </c>
      <c r="F523" s="1">
        <v>21131</v>
      </c>
      <c r="G523" s="1" t="str">
        <f t="shared" si="24"/>
        <v>Sufficient</v>
      </c>
      <c r="H523" s="1">
        <f t="shared" si="25"/>
        <v>1119943</v>
      </c>
      <c r="I523" s="1">
        <f t="shared" si="26"/>
        <v>4226.2</v>
      </c>
    </row>
    <row r="524" spans="1:9" x14ac:dyDescent="0.3">
      <c r="A524" s="1" t="s">
        <v>541</v>
      </c>
      <c r="B524" s="1" t="s">
        <v>12</v>
      </c>
      <c r="C524" s="1">
        <v>24</v>
      </c>
      <c r="D524" s="1">
        <v>30</v>
      </c>
      <c r="E524" s="1" t="s">
        <v>13</v>
      </c>
      <c r="F524" s="1">
        <v>70443</v>
      </c>
      <c r="G524" s="1" t="str">
        <f t="shared" si="24"/>
        <v>Low Stock</v>
      </c>
      <c r="H524" s="1">
        <f t="shared" si="25"/>
        <v>1690632</v>
      </c>
      <c r="I524" s="1">
        <f t="shared" si="26"/>
        <v>14088.6</v>
      </c>
    </row>
    <row r="525" spans="1:9" x14ac:dyDescent="0.3">
      <c r="A525" s="1" t="s">
        <v>542</v>
      </c>
      <c r="B525" s="1" t="s">
        <v>29</v>
      </c>
      <c r="C525" s="1">
        <v>104</v>
      </c>
      <c r="D525" s="1">
        <v>47</v>
      </c>
      <c r="E525" s="1" t="s">
        <v>26</v>
      </c>
      <c r="F525" s="1">
        <v>13770</v>
      </c>
      <c r="G525" s="1" t="str">
        <f t="shared" si="24"/>
        <v>Sufficient</v>
      </c>
      <c r="H525" s="1">
        <f t="shared" si="25"/>
        <v>1432080</v>
      </c>
      <c r="I525" s="1">
        <f t="shared" si="26"/>
        <v>2754</v>
      </c>
    </row>
    <row r="526" spans="1:9" x14ac:dyDescent="0.3">
      <c r="A526" s="1" t="s">
        <v>543</v>
      </c>
      <c r="B526" s="1" t="s">
        <v>12</v>
      </c>
      <c r="C526" s="1">
        <v>99</v>
      </c>
      <c r="D526" s="1">
        <v>12</v>
      </c>
      <c r="E526" s="1" t="s">
        <v>10</v>
      </c>
      <c r="F526" s="1">
        <v>55308</v>
      </c>
      <c r="G526" s="1" t="str">
        <f t="shared" si="24"/>
        <v>Sufficient</v>
      </c>
      <c r="H526" s="1">
        <f t="shared" si="25"/>
        <v>5475492</v>
      </c>
      <c r="I526" s="1">
        <f t="shared" si="26"/>
        <v>11061.6</v>
      </c>
    </row>
    <row r="527" spans="1:9" x14ac:dyDescent="0.3">
      <c r="A527" s="1" t="s">
        <v>544</v>
      </c>
      <c r="B527" s="1" t="s">
        <v>12</v>
      </c>
      <c r="C527" s="1">
        <v>47</v>
      </c>
      <c r="D527" s="1">
        <v>14</v>
      </c>
      <c r="E527" s="1" t="s">
        <v>26</v>
      </c>
      <c r="F527" s="1">
        <v>40708</v>
      </c>
      <c r="G527" s="1" t="str">
        <f t="shared" si="24"/>
        <v>Sufficient</v>
      </c>
      <c r="H527" s="1">
        <f t="shared" si="25"/>
        <v>1913276</v>
      </c>
      <c r="I527" s="1">
        <f t="shared" si="26"/>
        <v>8141.6</v>
      </c>
    </row>
    <row r="528" spans="1:9" x14ac:dyDescent="0.3">
      <c r="A528" s="1" t="s">
        <v>545</v>
      </c>
      <c r="B528" s="1" t="s">
        <v>7</v>
      </c>
      <c r="C528" s="1">
        <v>36</v>
      </c>
      <c r="D528" s="1">
        <v>10</v>
      </c>
      <c r="E528" s="1" t="s">
        <v>26</v>
      </c>
      <c r="F528" s="1">
        <v>9903</v>
      </c>
      <c r="G528" s="1" t="str">
        <f t="shared" si="24"/>
        <v>Sufficient</v>
      </c>
      <c r="H528" s="1">
        <f t="shared" si="25"/>
        <v>356508</v>
      </c>
      <c r="I528" s="1">
        <f t="shared" si="26"/>
        <v>1980.6000000000001</v>
      </c>
    </row>
    <row r="529" spans="1:9" x14ac:dyDescent="0.3">
      <c r="A529" s="1" t="s">
        <v>546</v>
      </c>
      <c r="B529" s="1" t="s">
        <v>23</v>
      </c>
      <c r="C529" s="1">
        <v>123</v>
      </c>
      <c r="D529" s="1">
        <v>34</v>
      </c>
      <c r="E529" s="1" t="s">
        <v>13</v>
      </c>
      <c r="F529" s="1">
        <v>10877</v>
      </c>
      <c r="G529" s="1" t="str">
        <f t="shared" si="24"/>
        <v>Sufficient</v>
      </c>
      <c r="H529" s="1">
        <f t="shared" si="25"/>
        <v>1337871</v>
      </c>
      <c r="I529" s="1">
        <f t="shared" si="26"/>
        <v>2175.4</v>
      </c>
    </row>
    <row r="530" spans="1:9" x14ac:dyDescent="0.3">
      <c r="A530" s="1" t="s">
        <v>547</v>
      </c>
      <c r="B530" s="1" t="s">
        <v>7</v>
      </c>
      <c r="C530" s="1">
        <v>46</v>
      </c>
      <c r="D530" s="1">
        <v>19</v>
      </c>
      <c r="E530" s="1" t="s">
        <v>10</v>
      </c>
      <c r="F530" s="1">
        <v>36730</v>
      </c>
      <c r="G530" s="1" t="str">
        <f t="shared" si="24"/>
        <v>Sufficient</v>
      </c>
      <c r="H530" s="1">
        <f t="shared" si="25"/>
        <v>1689580</v>
      </c>
      <c r="I530" s="1">
        <f t="shared" si="26"/>
        <v>7346</v>
      </c>
    </row>
    <row r="531" spans="1:9" x14ac:dyDescent="0.3">
      <c r="A531" s="1" t="s">
        <v>548</v>
      </c>
      <c r="B531" s="1" t="s">
        <v>20</v>
      </c>
      <c r="C531" s="1">
        <v>158</v>
      </c>
      <c r="D531" s="1">
        <v>48</v>
      </c>
      <c r="E531" s="1" t="s">
        <v>10</v>
      </c>
      <c r="F531" s="1">
        <v>7154</v>
      </c>
      <c r="G531" s="1" t="str">
        <f t="shared" si="24"/>
        <v>Sufficient</v>
      </c>
      <c r="H531" s="1">
        <f t="shared" si="25"/>
        <v>1130332</v>
      </c>
      <c r="I531" s="1">
        <f t="shared" si="26"/>
        <v>1430.8000000000002</v>
      </c>
    </row>
    <row r="532" spans="1:9" x14ac:dyDescent="0.3">
      <c r="A532" s="1" t="s">
        <v>549</v>
      </c>
      <c r="B532" s="1" t="s">
        <v>15</v>
      </c>
      <c r="C532" s="1">
        <v>190</v>
      </c>
      <c r="D532" s="1">
        <v>35</v>
      </c>
      <c r="E532" s="1" t="s">
        <v>26</v>
      </c>
      <c r="F532" s="1">
        <v>76185</v>
      </c>
      <c r="G532" s="1" t="str">
        <f t="shared" si="24"/>
        <v>Sufficient</v>
      </c>
      <c r="H532" s="1">
        <f t="shared" si="25"/>
        <v>14475150</v>
      </c>
      <c r="I532" s="1">
        <f t="shared" si="26"/>
        <v>15237</v>
      </c>
    </row>
    <row r="533" spans="1:9" x14ac:dyDescent="0.3">
      <c r="A533" s="1" t="s">
        <v>550</v>
      </c>
      <c r="B533" s="1" t="s">
        <v>12</v>
      </c>
      <c r="C533" s="1">
        <v>72</v>
      </c>
      <c r="D533" s="1">
        <v>20</v>
      </c>
      <c r="E533" s="1" t="s">
        <v>10</v>
      </c>
      <c r="F533" s="1">
        <v>19856</v>
      </c>
      <c r="G533" s="1" t="str">
        <f t="shared" si="24"/>
        <v>Sufficient</v>
      </c>
      <c r="H533" s="1">
        <f t="shared" si="25"/>
        <v>1429632</v>
      </c>
      <c r="I533" s="1">
        <f t="shared" si="26"/>
        <v>3971.2000000000003</v>
      </c>
    </row>
    <row r="534" spans="1:9" x14ac:dyDescent="0.3">
      <c r="A534" s="1" t="s">
        <v>551</v>
      </c>
      <c r="B534" s="1" t="s">
        <v>23</v>
      </c>
      <c r="C534" s="1">
        <v>135</v>
      </c>
      <c r="D534" s="1">
        <v>22</v>
      </c>
      <c r="E534" s="1" t="s">
        <v>26</v>
      </c>
      <c r="F534" s="1">
        <v>2810</v>
      </c>
      <c r="G534" s="1" t="str">
        <f t="shared" si="24"/>
        <v>Sufficient</v>
      </c>
      <c r="H534" s="1">
        <f t="shared" si="25"/>
        <v>379350</v>
      </c>
      <c r="I534" s="1">
        <f t="shared" si="26"/>
        <v>562</v>
      </c>
    </row>
    <row r="535" spans="1:9" x14ac:dyDescent="0.3">
      <c r="A535" s="1" t="s">
        <v>552</v>
      </c>
      <c r="B535" s="1" t="s">
        <v>12</v>
      </c>
      <c r="C535" s="1">
        <v>112</v>
      </c>
      <c r="D535" s="1">
        <v>42</v>
      </c>
      <c r="E535" s="1" t="s">
        <v>10</v>
      </c>
      <c r="F535" s="1">
        <v>43336</v>
      </c>
      <c r="G535" s="1" t="str">
        <f t="shared" si="24"/>
        <v>Sufficient</v>
      </c>
      <c r="H535" s="1">
        <f t="shared" si="25"/>
        <v>4853632</v>
      </c>
      <c r="I535" s="1">
        <f t="shared" si="26"/>
        <v>8667.2000000000007</v>
      </c>
    </row>
    <row r="536" spans="1:9" x14ac:dyDescent="0.3">
      <c r="A536" s="1" t="s">
        <v>553</v>
      </c>
      <c r="B536" s="1" t="s">
        <v>15</v>
      </c>
      <c r="C536" s="1">
        <v>20</v>
      </c>
      <c r="D536" s="1">
        <v>43</v>
      </c>
      <c r="E536" s="1" t="s">
        <v>26</v>
      </c>
      <c r="F536" s="1">
        <v>6154</v>
      </c>
      <c r="G536" s="1" t="str">
        <f t="shared" si="24"/>
        <v>Low Stock</v>
      </c>
      <c r="H536" s="1">
        <f t="shared" si="25"/>
        <v>123080</v>
      </c>
      <c r="I536" s="1">
        <f t="shared" si="26"/>
        <v>1230.8000000000002</v>
      </c>
    </row>
    <row r="537" spans="1:9" x14ac:dyDescent="0.3">
      <c r="A537" s="1" t="s">
        <v>554</v>
      </c>
      <c r="B537" s="1" t="s">
        <v>12</v>
      </c>
      <c r="C537" s="1">
        <v>69</v>
      </c>
      <c r="D537" s="1">
        <v>40</v>
      </c>
      <c r="E537" s="1" t="s">
        <v>13</v>
      </c>
      <c r="F537" s="1">
        <v>59309</v>
      </c>
      <c r="G537" s="1" t="str">
        <f t="shared" si="24"/>
        <v>Sufficient</v>
      </c>
      <c r="H537" s="1">
        <f t="shared" si="25"/>
        <v>4092321</v>
      </c>
      <c r="I537" s="1">
        <f t="shared" si="26"/>
        <v>11861.800000000001</v>
      </c>
    </row>
    <row r="538" spans="1:9" x14ac:dyDescent="0.3">
      <c r="A538" s="1" t="s">
        <v>555</v>
      </c>
      <c r="B538" s="1" t="s">
        <v>25</v>
      </c>
      <c r="C538" s="1">
        <v>196</v>
      </c>
      <c r="D538" s="1">
        <v>24</v>
      </c>
      <c r="E538" s="1" t="s">
        <v>10</v>
      </c>
      <c r="F538" s="1">
        <v>16189</v>
      </c>
      <c r="G538" s="1" t="str">
        <f t="shared" si="24"/>
        <v>Sufficient</v>
      </c>
      <c r="H538" s="1">
        <f t="shared" si="25"/>
        <v>3173044</v>
      </c>
      <c r="I538" s="1">
        <f t="shared" si="26"/>
        <v>3237.8</v>
      </c>
    </row>
    <row r="539" spans="1:9" x14ac:dyDescent="0.3">
      <c r="A539" s="1" t="s">
        <v>556</v>
      </c>
      <c r="B539" s="1" t="s">
        <v>7</v>
      </c>
      <c r="C539" s="1">
        <v>199</v>
      </c>
      <c r="D539" s="1">
        <v>13</v>
      </c>
      <c r="E539" s="1" t="s">
        <v>8</v>
      </c>
      <c r="F539" s="1">
        <v>6633</v>
      </c>
      <c r="G539" s="1" t="str">
        <f t="shared" si="24"/>
        <v>Sufficient</v>
      </c>
      <c r="H539" s="1">
        <f t="shared" si="25"/>
        <v>1319967</v>
      </c>
      <c r="I539" s="1">
        <f t="shared" si="26"/>
        <v>1326.6000000000001</v>
      </c>
    </row>
    <row r="540" spans="1:9" x14ac:dyDescent="0.3">
      <c r="A540" s="1" t="s">
        <v>557</v>
      </c>
      <c r="B540" s="1" t="s">
        <v>29</v>
      </c>
      <c r="C540" s="1">
        <v>104</v>
      </c>
      <c r="D540" s="1">
        <v>36</v>
      </c>
      <c r="E540" s="1" t="s">
        <v>26</v>
      </c>
      <c r="F540" s="1">
        <v>58977</v>
      </c>
      <c r="G540" s="1" t="str">
        <f t="shared" si="24"/>
        <v>Sufficient</v>
      </c>
      <c r="H540" s="1">
        <f t="shared" si="25"/>
        <v>6133608</v>
      </c>
      <c r="I540" s="1">
        <f t="shared" si="26"/>
        <v>11795.400000000001</v>
      </c>
    </row>
    <row r="541" spans="1:9" x14ac:dyDescent="0.3">
      <c r="A541" s="1" t="s">
        <v>558</v>
      </c>
      <c r="B541" s="1" t="s">
        <v>25</v>
      </c>
      <c r="C541" s="1">
        <v>114</v>
      </c>
      <c r="D541" s="1">
        <v>47</v>
      </c>
      <c r="E541" s="1" t="s">
        <v>26</v>
      </c>
      <c r="F541" s="1">
        <v>10288</v>
      </c>
      <c r="G541" s="1" t="str">
        <f t="shared" si="24"/>
        <v>Sufficient</v>
      </c>
      <c r="H541" s="1">
        <f t="shared" si="25"/>
        <v>1172832</v>
      </c>
      <c r="I541" s="1">
        <f t="shared" si="26"/>
        <v>2057.6</v>
      </c>
    </row>
    <row r="542" spans="1:9" x14ac:dyDescent="0.3">
      <c r="A542" s="1" t="s">
        <v>559</v>
      </c>
      <c r="B542" s="1" t="s">
        <v>29</v>
      </c>
      <c r="C542" s="1">
        <v>97</v>
      </c>
      <c r="D542" s="1">
        <v>27</v>
      </c>
      <c r="E542" s="1" t="s">
        <v>10</v>
      </c>
      <c r="F542" s="1">
        <v>5968</v>
      </c>
      <c r="G542" s="1" t="str">
        <f t="shared" si="24"/>
        <v>Sufficient</v>
      </c>
      <c r="H542" s="1">
        <f t="shared" si="25"/>
        <v>578896</v>
      </c>
      <c r="I542" s="1">
        <f t="shared" si="26"/>
        <v>1193.6000000000001</v>
      </c>
    </row>
    <row r="543" spans="1:9" x14ac:dyDescent="0.3">
      <c r="A543" s="1" t="s">
        <v>560</v>
      </c>
      <c r="B543" s="1" t="s">
        <v>15</v>
      </c>
      <c r="C543" s="1">
        <v>10</v>
      </c>
      <c r="D543" s="1">
        <v>12</v>
      </c>
      <c r="E543" s="1" t="s">
        <v>13</v>
      </c>
      <c r="F543" s="1">
        <v>65838</v>
      </c>
      <c r="G543" s="1" t="str">
        <f t="shared" si="24"/>
        <v>Low Stock</v>
      </c>
      <c r="H543" s="1">
        <f t="shared" si="25"/>
        <v>658380</v>
      </c>
      <c r="I543" s="1">
        <f t="shared" si="26"/>
        <v>13167.6</v>
      </c>
    </row>
    <row r="544" spans="1:9" x14ac:dyDescent="0.3">
      <c r="A544" s="1" t="s">
        <v>561</v>
      </c>
      <c r="B544" s="1" t="s">
        <v>15</v>
      </c>
      <c r="C544" s="1">
        <v>98</v>
      </c>
      <c r="D544" s="1">
        <v>11</v>
      </c>
      <c r="E544" s="1" t="s">
        <v>16</v>
      </c>
      <c r="F544" s="1">
        <v>65745</v>
      </c>
      <c r="G544" s="1" t="str">
        <f t="shared" si="24"/>
        <v>Sufficient</v>
      </c>
      <c r="H544" s="1">
        <f t="shared" si="25"/>
        <v>6443010</v>
      </c>
      <c r="I544" s="1">
        <f t="shared" si="26"/>
        <v>13149</v>
      </c>
    </row>
    <row r="545" spans="1:9" x14ac:dyDescent="0.3">
      <c r="A545" s="1" t="s">
        <v>562</v>
      </c>
      <c r="B545" s="1" t="s">
        <v>7</v>
      </c>
      <c r="C545" s="1">
        <v>170</v>
      </c>
      <c r="D545" s="1">
        <v>32</v>
      </c>
      <c r="E545" s="1" t="s">
        <v>10</v>
      </c>
      <c r="F545" s="1">
        <v>45618</v>
      </c>
      <c r="G545" s="1" t="str">
        <f t="shared" si="24"/>
        <v>Sufficient</v>
      </c>
      <c r="H545" s="1">
        <f t="shared" si="25"/>
        <v>7755060</v>
      </c>
      <c r="I545" s="1">
        <f t="shared" si="26"/>
        <v>9123.6</v>
      </c>
    </row>
    <row r="546" spans="1:9" x14ac:dyDescent="0.3">
      <c r="A546" s="1" t="s">
        <v>563</v>
      </c>
      <c r="B546" s="1" t="s">
        <v>7</v>
      </c>
      <c r="C546" s="1">
        <v>34</v>
      </c>
      <c r="D546" s="1">
        <v>29</v>
      </c>
      <c r="E546" s="1" t="s">
        <v>16</v>
      </c>
      <c r="F546" s="1">
        <v>24218</v>
      </c>
      <c r="G546" s="1" t="str">
        <f t="shared" si="24"/>
        <v>Sufficient</v>
      </c>
      <c r="H546" s="1">
        <f t="shared" si="25"/>
        <v>823412</v>
      </c>
      <c r="I546" s="1">
        <f t="shared" si="26"/>
        <v>4843.6000000000004</v>
      </c>
    </row>
    <row r="547" spans="1:9" x14ac:dyDescent="0.3">
      <c r="A547" s="1" t="s">
        <v>564</v>
      </c>
      <c r="B547" s="1" t="s">
        <v>29</v>
      </c>
      <c r="C547" s="1">
        <v>70</v>
      </c>
      <c r="D547" s="1">
        <v>14</v>
      </c>
      <c r="E547" s="1" t="s">
        <v>26</v>
      </c>
      <c r="F547" s="1">
        <v>35812</v>
      </c>
      <c r="G547" s="1" t="str">
        <f t="shared" si="24"/>
        <v>Sufficient</v>
      </c>
      <c r="H547" s="1">
        <f t="shared" si="25"/>
        <v>2506840</v>
      </c>
      <c r="I547" s="1">
        <f t="shared" si="26"/>
        <v>7162.4000000000005</v>
      </c>
    </row>
    <row r="548" spans="1:9" x14ac:dyDescent="0.3">
      <c r="A548" s="1" t="s">
        <v>565</v>
      </c>
      <c r="B548" s="1" t="s">
        <v>23</v>
      </c>
      <c r="C548" s="1">
        <v>44</v>
      </c>
      <c r="D548" s="1">
        <v>35</v>
      </c>
      <c r="E548" s="1" t="s">
        <v>8</v>
      </c>
      <c r="F548" s="1">
        <v>8162</v>
      </c>
      <c r="G548" s="1" t="str">
        <f t="shared" si="24"/>
        <v>Sufficient</v>
      </c>
      <c r="H548" s="1">
        <f t="shared" si="25"/>
        <v>359128</v>
      </c>
      <c r="I548" s="1">
        <f t="shared" si="26"/>
        <v>1632.4</v>
      </c>
    </row>
    <row r="549" spans="1:9" x14ac:dyDescent="0.3">
      <c r="A549" s="1" t="s">
        <v>566</v>
      </c>
      <c r="B549" s="1" t="s">
        <v>23</v>
      </c>
      <c r="C549" s="1">
        <v>119</v>
      </c>
      <c r="D549" s="1">
        <v>40</v>
      </c>
      <c r="E549" s="1" t="s">
        <v>13</v>
      </c>
      <c r="F549" s="1">
        <v>1168</v>
      </c>
      <c r="G549" s="1" t="str">
        <f t="shared" si="24"/>
        <v>Sufficient</v>
      </c>
      <c r="H549" s="1">
        <f t="shared" si="25"/>
        <v>138992</v>
      </c>
      <c r="I549" s="1">
        <f t="shared" si="26"/>
        <v>233.60000000000002</v>
      </c>
    </row>
    <row r="550" spans="1:9" x14ac:dyDescent="0.3">
      <c r="A550" s="1" t="s">
        <v>567</v>
      </c>
      <c r="B550" s="1" t="s">
        <v>20</v>
      </c>
      <c r="C550" s="1">
        <v>93</v>
      </c>
      <c r="D550" s="1">
        <v>27</v>
      </c>
      <c r="E550" s="1" t="s">
        <v>16</v>
      </c>
      <c r="F550" s="1">
        <v>9656</v>
      </c>
      <c r="G550" s="1" t="str">
        <f t="shared" si="24"/>
        <v>Sufficient</v>
      </c>
      <c r="H550" s="1">
        <f t="shared" si="25"/>
        <v>898008</v>
      </c>
      <c r="I550" s="1">
        <f t="shared" si="26"/>
        <v>1931.2</v>
      </c>
    </row>
    <row r="551" spans="1:9" x14ac:dyDescent="0.3">
      <c r="A551" s="1" t="s">
        <v>568</v>
      </c>
      <c r="B551" s="1" t="s">
        <v>18</v>
      </c>
      <c r="C551" s="1">
        <v>39</v>
      </c>
      <c r="D551" s="1">
        <v>19</v>
      </c>
      <c r="E551" s="1" t="s">
        <v>16</v>
      </c>
      <c r="F551" s="1">
        <v>29325</v>
      </c>
      <c r="G551" s="1" t="str">
        <f t="shared" si="24"/>
        <v>Sufficient</v>
      </c>
      <c r="H551" s="1">
        <f t="shared" si="25"/>
        <v>1143675</v>
      </c>
      <c r="I551" s="1">
        <f t="shared" si="26"/>
        <v>5865</v>
      </c>
    </row>
    <row r="552" spans="1:9" x14ac:dyDescent="0.3">
      <c r="A552" s="1" t="s">
        <v>569</v>
      </c>
      <c r="B552" s="1" t="s">
        <v>18</v>
      </c>
      <c r="C552" s="1">
        <v>35</v>
      </c>
      <c r="D552" s="1">
        <v>32</v>
      </c>
      <c r="E552" s="1" t="s">
        <v>8</v>
      </c>
      <c r="F552" s="1">
        <v>20213</v>
      </c>
      <c r="G552" s="1" t="str">
        <f t="shared" si="24"/>
        <v>Sufficient</v>
      </c>
      <c r="H552" s="1">
        <f t="shared" si="25"/>
        <v>707455</v>
      </c>
      <c r="I552" s="1">
        <f t="shared" si="26"/>
        <v>4042.6000000000004</v>
      </c>
    </row>
    <row r="553" spans="1:9" x14ac:dyDescent="0.3">
      <c r="A553" s="1" t="s">
        <v>570</v>
      </c>
      <c r="B553" s="1" t="s">
        <v>12</v>
      </c>
      <c r="C553" s="1">
        <v>106</v>
      </c>
      <c r="D553" s="1">
        <v>36</v>
      </c>
      <c r="E553" s="1" t="s">
        <v>8</v>
      </c>
      <c r="F553" s="1">
        <v>76756</v>
      </c>
      <c r="G553" s="1" t="str">
        <f t="shared" si="24"/>
        <v>Sufficient</v>
      </c>
      <c r="H553" s="1">
        <f t="shared" si="25"/>
        <v>8136136</v>
      </c>
      <c r="I553" s="1">
        <f t="shared" si="26"/>
        <v>15351.2</v>
      </c>
    </row>
    <row r="554" spans="1:9" x14ac:dyDescent="0.3">
      <c r="A554" s="1" t="s">
        <v>571</v>
      </c>
      <c r="B554" s="1" t="s">
        <v>25</v>
      </c>
      <c r="C554" s="1">
        <v>26</v>
      </c>
      <c r="D554" s="1">
        <v>16</v>
      </c>
      <c r="E554" s="1" t="s">
        <v>16</v>
      </c>
      <c r="F554" s="1">
        <v>27489</v>
      </c>
      <c r="G554" s="1" t="str">
        <f t="shared" si="24"/>
        <v>Sufficient</v>
      </c>
      <c r="H554" s="1">
        <f t="shared" si="25"/>
        <v>714714</v>
      </c>
      <c r="I554" s="1">
        <f t="shared" si="26"/>
        <v>5497.8</v>
      </c>
    </row>
    <row r="555" spans="1:9" x14ac:dyDescent="0.3">
      <c r="A555" s="1" t="s">
        <v>572</v>
      </c>
      <c r="B555" s="1" t="s">
        <v>29</v>
      </c>
      <c r="C555" s="1">
        <v>127</v>
      </c>
      <c r="D555" s="1">
        <v>25</v>
      </c>
      <c r="E555" s="1" t="s">
        <v>8</v>
      </c>
      <c r="F555" s="1">
        <v>20218</v>
      </c>
      <c r="G555" s="1" t="str">
        <f t="shared" si="24"/>
        <v>Sufficient</v>
      </c>
      <c r="H555" s="1">
        <f t="shared" si="25"/>
        <v>2567686</v>
      </c>
      <c r="I555" s="1">
        <f t="shared" si="26"/>
        <v>4043.6000000000004</v>
      </c>
    </row>
    <row r="556" spans="1:9" x14ac:dyDescent="0.3">
      <c r="A556" s="1" t="s">
        <v>573</v>
      </c>
      <c r="B556" s="1" t="s">
        <v>15</v>
      </c>
      <c r="C556" s="1">
        <v>47</v>
      </c>
      <c r="D556" s="1">
        <v>17</v>
      </c>
      <c r="E556" s="1" t="s">
        <v>13</v>
      </c>
      <c r="F556" s="1">
        <v>42031</v>
      </c>
      <c r="G556" s="1" t="str">
        <f t="shared" si="24"/>
        <v>Sufficient</v>
      </c>
      <c r="H556" s="1">
        <f t="shared" si="25"/>
        <v>1975457</v>
      </c>
      <c r="I556" s="1">
        <f t="shared" si="26"/>
        <v>8406.2000000000007</v>
      </c>
    </row>
    <row r="557" spans="1:9" x14ac:dyDescent="0.3">
      <c r="A557" s="1" t="s">
        <v>574</v>
      </c>
      <c r="B557" s="1" t="s">
        <v>15</v>
      </c>
      <c r="C557" s="1">
        <v>107</v>
      </c>
      <c r="D557" s="1">
        <v>46</v>
      </c>
      <c r="E557" s="1" t="s">
        <v>26</v>
      </c>
      <c r="F557" s="1">
        <v>75012</v>
      </c>
      <c r="G557" s="1" t="str">
        <f t="shared" si="24"/>
        <v>Sufficient</v>
      </c>
      <c r="H557" s="1">
        <f t="shared" si="25"/>
        <v>8026284</v>
      </c>
      <c r="I557" s="1">
        <f t="shared" si="26"/>
        <v>15002.400000000001</v>
      </c>
    </row>
    <row r="558" spans="1:9" x14ac:dyDescent="0.3">
      <c r="A558" s="1" t="s">
        <v>575</v>
      </c>
      <c r="B558" s="1" t="s">
        <v>20</v>
      </c>
      <c r="C558" s="1">
        <v>49</v>
      </c>
      <c r="D558" s="1">
        <v>45</v>
      </c>
      <c r="E558" s="1" t="s">
        <v>8</v>
      </c>
      <c r="F558" s="1">
        <v>50506</v>
      </c>
      <c r="G558" s="1" t="str">
        <f t="shared" si="24"/>
        <v>Sufficient</v>
      </c>
      <c r="H558" s="1">
        <f t="shared" si="25"/>
        <v>2474794</v>
      </c>
      <c r="I558" s="1">
        <f t="shared" si="26"/>
        <v>10101.200000000001</v>
      </c>
    </row>
    <row r="559" spans="1:9" x14ac:dyDescent="0.3">
      <c r="A559" s="1" t="s">
        <v>576</v>
      </c>
      <c r="B559" s="1" t="s">
        <v>12</v>
      </c>
      <c r="C559" s="1">
        <v>199</v>
      </c>
      <c r="D559" s="1">
        <v>50</v>
      </c>
      <c r="E559" s="1" t="s">
        <v>26</v>
      </c>
      <c r="F559" s="1">
        <v>9720</v>
      </c>
      <c r="G559" s="1" t="str">
        <f t="shared" si="24"/>
        <v>Sufficient</v>
      </c>
      <c r="H559" s="1">
        <f t="shared" si="25"/>
        <v>1934280</v>
      </c>
      <c r="I559" s="1">
        <f t="shared" si="26"/>
        <v>1944</v>
      </c>
    </row>
    <row r="560" spans="1:9" x14ac:dyDescent="0.3">
      <c r="A560" s="1" t="s">
        <v>577</v>
      </c>
      <c r="B560" s="1" t="s">
        <v>7</v>
      </c>
      <c r="C560" s="1">
        <v>118</v>
      </c>
      <c r="D560" s="1">
        <v>18</v>
      </c>
      <c r="E560" s="1" t="s">
        <v>16</v>
      </c>
      <c r="F560" s="1">
        <v>61912</v>
      </c>
      <c r="G560" s="1" t="str">
        <f t="shared" si="24"/>
        <v>Sufficient</v>
      </c>
      <c r="H560" s="1">
        <f t="shared" si="25"/>
        <v>7305616</v>
      </c>
      <c r="I560" s="1">
        <f t="shared" si="26"/>
        <v>12382.400000000001</v>
      </c>
    </row>
    <row r="561" spans="1:9" x14ac:dyDescent="0.3">
      <c r="A561" s="1" t="s">
        <v>578</v>
      </c>
      <c r="B561" s="1" t="s">
        <v>12</v>
      </c>
      <c r="C561" s="1">
        <v>98</v>
      </c>
      <c r="D561" s="1">
        <v>28</v>
      </c>
      <c r="E561" s="1" t="s">
        <v>13</v>
      </c>
      <c r="F561" s="1">
        <v>52256</v>
      </c>
      <c r="G561" s="1" t="str">
        <f t="shared" si="24"/>
        <v>Sufficient</v>
      </c>
      <c r="H561" s="1">
        <f t="shared" si="25"/>
        <v>5121088</v>
      </c>
      <c r="I561" s="1">
        <f t="shared" si="26"/>
        <v>10451.200000000001</v>
      </c>
    </row>
    <row r="562" spans="1:9" x14ac:dyDescent="0.3">
      <c r="A562" s="1" t="s">
        <v>579</v>
      </c>
      <c r="B562" s="1" t="s">
        <v>7</v>
      </c>
      <c r="C562" s="1">
        <v>98</v>
      </c>
      <c r="D562" s="1">
        <v>16</v>
      </c>
      <c r="E562" s="1" t="s">
        <v>26</v>
      </c>
      <c r="F562" s="1">
        <v>56075</v>
      </c>
      <c r="G562" s="1" t="str">
        <f t="shared" si="24"/>
        <v>Sufficient</v>
      </c>
      <c r="H562" s="1">
        <f t="shared" si="25"/>
        <v>5495350</v>
      </c>
      <c r="I562" s="1">
        <f t="shared" si="26"/>
        <v>11215</v>
      </c>
    </row>
    <row r="563" spans="1:9" x14ac:dyDescent="0.3">
      <c r="A563" s="1" t="s">
        <v>580</v>
      </c>
      <c r="B563" s="1" t="s">
        <v>23</v>
      </c>
      <c r="C563" s="1">
        <v>197</v>
      </c>
      <c r="D563" s="1">
        <v>19</v>
      </c>
      <c r="E563" s="1" t="s">
        <v>8</v>
      </c>
      <c r="F563" s="1">
        <v>36420</v>
      </c>
      <c r="G563" s="1" t="str">
        <f t="shared" si="24"/>
        <v>Sufficient</v>
      </c>
      <c r="H563" s="1">
        <f t="shared" si="25"/>
        <v>7174740</v>
      </c>
      <c r="I563" s="1">
        <f t="shared" si="26"/>
        <v>7284</v>
      </c>
    </row>
    <row r="564" spans="1:9" x14ac:dyDescent="0.3">
      <c r="A564" s="1" t="s">
        <v>581</v>
      </c>
      <c r="B564" s="1" t="s">
        <v>12</v>
      </c>
      <c r="C564" s="1">
        <v>186</v>
      </c>
      <c r="D564" s="1">
        <v>29</v>
      </c>
      <c r="E564" s="1" t="s">
        <v>26</v>
      </c>
      <c r="F564" s="1">
        <v>62053</v>
      </c>
      <c r="G564" s="1" t="str">
        <f t="shared" si="24"/>
        <v>Sufficient</v>
      </c>
      <c r="H564" s="1">
        <f t="shared" si="25"/>
        <v>11541858</v>
      </c>
      <c r="I564" s="1">
        <f t="shared" si="26"/>
        <v>12410.6</v>
      </c>
    </row>
    <row r="565" spans="1:9" x14ac:dyDescent="0.3">
      <c r="A565" s="1" t="s">
        <v>582</v>
      </c>
      <c r="B565" s="1" t="s">
        <v>29</v>
      </c>
      <c r="C565" s="1">
        <v>159</v>
      </c>
      <c r="D565" s="1">
        <v>35</v>
      </c>
      <c r="E565" s="1" t="s">
        <v>10</v>
      </c>
      <c r="F565" s="1">
        <v>70654</v>
      </c>
      <c r="G565" s="1" t="str">
        <f t="shared" si="24"/>
        <v>Sufficient</v>
      </c>
      <c r="H565" s="1">
        <f t="shared" si="25"/>
        <v>11233986</v>
      </c>
      <c r="I565" s="1">
        <f t="shared" si="26"/>
        <v>14130.800000000001</v>
      </c>
    </row>
    <row r="566" spans="1:9" x14ac:dyDescent="0.3">
      <c r="A566" s="1" t="s">
        <v>583</v>
      </c>
      <c r="B566" s="1" t="s">
        <v>25</v>
      </c>
      <c r="C566" s="1">
        <v>13</v>
      </c>
      <c r="D566" s="1">
        <v>10</v>
      </c>
      <c r="E566" s="1" t="s">
        <v>8</v>
      </c>
      <c r="F566" s="1">
        <v>40377</v>
      </c>
      <c r="G566" s="1" t="str">
        <f t="shared" si="24"/>
        <v>Sufficient</v>
      </c>
      <c r="H566" s="1">
        <f t="shared" si="25"/>
        <v>524901</v>
      </c>
      <c r="I566" s="1">
        <f t="shared" si="26"/>
        <v>8075.4000000000005</v>
      </c>
    </row>
    <row r="567" spans="1:9" x14ac:dyDescent="0.3">
      <c r="A567" s="1" t="s">
        <v>584</v>
      </c>
      <c r="B567" s="1" t="s">
        <v>29</v>
      </c>
      <c r="C567" s="1">
        <v>150</v>
      </c>
      <c r="D567" s="1">
        <v>15</v>
      </c>
      <c r="E567" s="1" t="s">
        <v>10</v>
      </c>
      <c r="F567" s="1">
        <v>5533</v>
      </c>
      <c r="G567" s="1" t="str">
        <f t="shared" si="24"/>
        <v>Sufficient</v>
      </c>
      <c r="H567" s="1">
        <f t="shared" si="25"/>
        <v>829950</v>
      </c>
      <c r="I567" s="1">
        <f t="shared" si="26"/>
        <v>1106.6000000000001</v>
      </c>
    </row>
    <row r="568" spans="1:9" x14ac:dyDescent="0.3">
      <c r="A568" s="1" t="s">
        <v>585</v>
      </c>
      <c r="B568" s="1" t="s">
        <v>23</v>
      </c>
      <c r="C568" s="1">
        <v>180</v>
      </c>
      <c r="D568" s="1">
        <v>44</v>
      </c>
      <c r="E568" s="1" t="s">
        <v>10</v>
      </c>
      <c r="F568" s="1">
        <v>77843</v>
      </c>
      <c r="G568" s="1" t="str">
        <f t="shared" si="24"/>
        <v>Sufficient</v>
      </c>
      <c r="H568" s="1">
        <f t="shared" si="25"/>
        <v>14011740</v>
      </c>
      <c r="I568" s="1">
        <f t="shared" si="26"/>
        <v>15568.6</v>
      </c>
    </row>
    <row r="569" spans="1:9" x14ac:dyDescent="0.3">
      <c r="A569" s="1" t="s">
        <v>586</v>
      </c>
      <c r="B569" s="1" t="s">
        <v>25</v>
      </c>
      <c r="C569" s="1">
        <v>56</v>
      </c>
      <c r="D569" s="1">
        <v>41</v>
      </c>
      <c r="E569" s="1" t="s">
        <v>10</v>
      </c>
      <c r="F569" s="1">
        <v>64062</v>
      </c>
      <c r="G569" s="1" t="str">
        <f t="shared" si="24"/>
        <v>Sufficient</v>
      </c>
      <c r="H569" s="1">
        <f t="shared" si="25"/>
        <v>3587472</v>
      </c>
      <c r="I569" s="1">
        <f t="shared" si="26"/>
        <v>12812.400000000001</v>
      </c>
    </row>
    <row r="570" spans="1:9" x14ac:dyDescent="0.3">
      <c r="A570" s="1" t="s">
        <v>587</v>
      </c>
      <c r="B570" s="1" t="s">
        <v>7</v>
      </c>
      <c r="C570" s="1">
        <v>95</v>
      </c>
      <c r="D570" s="1">
        <v>47</v>
      </c>
      <c r="E570" s="1" t="s">
        <v>8</v>
      </c>
      <c r="F570" s="1">
        <v>78049</v>
      </c>
      <c r="G570" s="1" t="str">
        <f t="shared" si="24"/>
        <v>Sufficient</v>
      </c>
      <c r="H570" s="1">
        <f t="shared" si="25"/>
        <v>7414655</v>
      </c>
      <c r="I570" s="1">
        <f t="shared" si="26"/>
        <v>15609.800000000001</v>
      </c>
    </row>
    <row r="571" spans="1:9" x14ac:dyDescent="0.3">
      <c r="A571" s="1" t="s">
        <v>588</v>
      </c>
      <c r="B571" s="1" t="s">
        <v>18</v>
      </c>
      <c r="C571" s="1">
        <v>26</v>
      </c>
      <c r="D571" s="1">
        <v>26</v>
      </c>
      <c r="E571" s="1" t="s">
        <v>10</v>
      </c>
      <c r="F571" s="1">
        <v>49680</v>
      </c>
      <c r="G571" s="1" t="str">
        <f t="shared" si="24"/>
        <v>Low Stock</v>
      </c>
      <c r="H571" s="1">
        <f t="shared" si="25"/>
        <v>1291680</v>
      </c>
      <c r="I571" s="1">
        <f t="shared" si="26"/>
        <v>9936</v>
      </c>
    </row>
    <row r="572" spans="1:9" x14ac:dyDescent="0.3">
      <c r="A572" s="1" t="s">
        <v>589</v>
      </c>
      <c r="B572" s="1" t="s">
        <v>29</v>
      </c>
      <c r="C572" s="1">
        <v>171</v>
      </c>
      <c r="D572" s="1">
        <v>18</v>
      </c>
      <c r="E572" s="1" t="s">
        <v>8</v>
      </c>
      <c r="F572" s="1">
        <v>49849</v>
      </c>
      <c r="G572" s="1" t="str">
        <f t="shared" si="24"/>
        <v>Sufficient</v>
      </c>
      <c r="H572" s="1">
        <f t="shared" si="25"/>
        <v>8524179</v>
      </c>
      <c r="I572" s="1">
        <f t="shared" si="26"/>
        <v>9969.8000000000011</v>
      </c>
    </row>
    <row r="573" spans="1:9" x14ac:dyDescent="0.3">
      <c r="A573" s="1" t="s">
        <v>590</v>
      </c>
      <c r="B573" s="1" t="s">
        <v>29</v>
      </c>
      <c r="C573" s="1">
        <v>151</v>
      </c>
      <c r="D573" s="1">
        <v>24</v>
      </c>
      <c r="E573" s="1" t="s">
        <v>16</v>
      </c>
      <c r="F573" s="1">
        <v>38362</v>
      </c>
      <c r="G573" s="1" t="str">
        <f t="shared" si="24"/>
        <v>Sufficient</v>
      </c>
      <c r="H573" s="1">
        <f t="shared" si="25"/>
        <v>5792662</v>
      </c>
      <c r="I573" s="1">
        <f t="shared" si="26"/>
        <v>7672.4000000000005</v>
      </c>
    </row>
    <row r="574" spans="1:9" x14ac:dyDescent="0.3">
      <c r="A574" s="1" t="s">
        <v>591</v>
      </c>
      <c r="B574" s="1" t="s">
        <v>18</v>
      </c>
      <c r="C574" s="1">
        <v>16</v>
      </c>
      <c r="D574" s="1">
        <v>35</v>
      </c>
      <c r="E574" s="1" t="s">
        <v>10</v>
      </c>
      <c r="F574" s="1">
        <v>78134</v>
      </c>
      <c r="G574" s="1" t="str">
        <f t="shared" si="24"/>
        <v>Low Stock</v>
      </c>
      <c r="H574" s="1">
        <f t="shared" si="25"/>
        <v>1250144</v>
      </c>
      <c r="I574" s="1">
        <f t="shared" si="26"/>
        <v>15626.800000000001</v>
      </c>
    </row>
    <row r="575" spans="1:9" x14ac:dyDescent="0.3">
      <c r="A575" s="1" t="s">
        <v>592</v>
      </c>
      <c r="B575" s="1" t="s">
        <v>25</v>
      </c>
      <c r="C575" s="1">
        <v>158</v>
      </c>
      <c r="D575" s="1">
        <v>48</v>
      </c>
      <c r="E575" s="1" t="s">
        <v>26</v>
      </c>
      <c r="F575" s="1">
        <v>8732</v>
      </c>
      <c r="G575" s="1" t="str">
        <f t="shared" si="24"/>
        <v>Sufficient</v>
      </c>
      <c r="H575" s="1">
        <f t="shared" si="25"/>
        <v>1379656</v>
      </c>
      <c r="I575" s="1">
        <f t="shared" si="26"/>
        <v>1746.4</v>
      </c>
    </row>
    <row r="576" spans="1:9" x14ac:dyDescent="0.3">
      <c r="A576" s="1" t="s">
        <v>593</v>
      </c>
      <c r="B576" s="1" t="s">
        <v>25</v>
      </c>
      <c r="C576" s="1">
        <v>33</v>
      </c>
      <c r="D576" s="1">
        <v>47</v>
      </c>
      <c r="E576" s="1" t="s">
        <v>13</v>
      </c>
      <c r="F576" s="1">
        <v>50107</v>
      </c>
      <c r="G576" s="1" t="str">
        <f t="shared" si="24"/>
        <v>Low Stock</v>
      </c>
      <c r="H576" s="1">
        <f t="shared" si="25"/>
        <v>1653531</v>
      </c>
      <c r="I576" s="1">
        <f t="shared" si="26"/>
        <v>10021.400000000001</v>
      </c>
    </row>
    <row r="577" spans="1:9" x14ac:dyDescent="0.3">
      <c r="A577" s="1" t="s">
        <v>594</v>
      </c>
      <c r="B577" s="1" t="s">
        <v>25</v>
      </c>
      <c r="C577" s="1">
        <v>198</v>
      </c>
      <c r="D577" s="1">
        <v>44</v>
      </c>
      <c r="E577" s="1" t="s">
        <v>26</v>
      </c>
      <c r="F577" s="1">
        <v>32533</v>
      </c>
      <c r="G577" s="1" t="str">
        <f t="shared" si="24"/>
        <v>Sufficient</v>
      </c>
      <c r="H577" s="1">
        <f t="shared" si="25"/>
        <v>6441534</v>
      </c>
      <c r="I577" s="1">
        <f t="shared" si="26"/>
        <v>6506.6</v>
      </c>
    </row>
    <row r="578" spans="1:9" x14ac:dyDescent="0.3">
      <c r="A578" s="1" t="s">
        <v>595</v>
      </c>
      <c r="B578" s="1" t="s">
        <v>29</v>
      </c>
      <c r="C578" s="1">
        <v>111</v>
      </c>
      <c r="D578" s="1">
        <v>34</v>
      </c>
      <c r="E578" s="1" t="s">
        <v>10</v>
      </c>
      <c r="F578" s="1">
        <v>37427</v>
      </c>
      <c r="G578" s="1" t="str">
        <f t="shared" si="24"/>
        <v>Sufficient</v>
      </c>
      <c r="H578" s="1">
        <f t="shared" si="25"/>
        <v>4154397</v>
      </c>
      <c r="I578" s="1">
        <f t="shared" si="26"/>
        <v>7485.4000000000005</v>
      </c>
    </row>
    <row r="579" spans="1:9" x14ac:dyDescent="0.3">
      <c r="A579" s="1" t="s">
        <v>596</v>
      </c>
      <c r="B579" s="1" t="s">
        <v>20</v>
      </c>
      <c r="C579" s="1">
        <v>29</v>
      </c>
      <c r="D579" s="1">
        <v>16</v>
      </c>
      <c r="E579" s="1" t="s">
        <v>10</v>
      </c>
      <c r="F579" s="1">
        <v>36632</v>
      </c>
      <c r="G579" s="1" t="str">
        <f t="shared" ref="G579:G642" si="27">IF(C579=0,"Pending",IF(C579&lt;=D579,"Low Stock", "Sufficient"))</f>
        <v>Sufficient</v>
      </c>
      <c r="H579" s="1">
        <f t="shared" ref="H579:H642" si="28">C579*F579</f>
        <v>1062328</v>
      </c>
      <c r="I579" s="1">
        <f t="shared" ref="I579:I642" si="29">F579*0.2</f>
        <v>7326.4000000000005</v>
      </c>
    </row>
    <row r="580" spans="1:9" x14ac:dyDescent="0.3">
      <c r="A580" s="1" t="s">
        <v>597</v>
      </c>
      <c r="B580" s="1" t="s">
        <v>29</v>
      </c>
      <c r="C580" s="1">
        <v>154</v>
      </c>
      <c r="D580" s="1">
        <v>48</v>
      </c>
      <c r="E580" s="1" t="s">
        <v>8</v>
      </c>
      <c r="F580" s="1">
        <v>35206</v>
      </c>
      <c r="G580" s="1" t="str">
        <f t="shared" si="27"/>
        <v>Sufficient</v>
      </c>
      <c r="H580" s="1">
        <f t="shared" si="28"/>
        <v>5421724</v>
      </c>
      <c r="I580" s="1">
        <f t="shared" si="29"/>
        <v>7041.2000000000007</v>
      </c>
    </row>
    <row r="581" spans="1:9" x14ac:dyDescent="0.3">
      <c r="A581" s="1" t="s">
        <v>598</v>
      </c>
      <c r="B581" s="1" t="s">
        <v>23</v>
      </c>
      <c r="C581" s="1">
        <v>95</v>
      </c>
      <c r="D581" s="1">
        <v>39</v>
      </c>
      <c r="E581" s="1" t="s">
        <v>13</v>
      </c>
      <c r="F581" s="1">
        <v>49680</v>
      </c>
      <c r="G581" s="1" t="str">
        <f t="shared" si="27"/>
        <v>Sufficient</v>
      </c>
      <c r="H581" s="1">
        <f t="shared" si="28"/>
        <v>4719600</v>
      </c>
      <c r="I581" s="1">
        <f t="shared" si="29"/>
        <v>9936</v>
      </c>
    </row>
    <row r="582" spans="1:9" x14ac:dyDescent="0.3">
      <c r="A582" s="1" t="s">
        <v>599</v>
      </c>
      <c r="B582" s="1" t="s">
        <v>25</v>
      </c>
      <c r="C582" s="1">
        <v>66</v>
      </c>
      <c r="D582" s="1">
        <v>16</v>
      </c>
      <c r="E582" s="1" t="s">
        <v>10</v>
      </c>
      <c r="F582" s="1">
        <v>74110</v>
      </c>
      <c r="G582" s="1" t="str">
        <f t="shared" si="27"/>
        <v>Sufficient</v>
      </c>
      <c r="H582" s="1">
        <f t="shared" si="28"/>
        <v>4891260</v>
      </c>
      <c r="I582" s="1">
        <f t="shared" si="29"/>
        <v>14822</v>
      </c>
    </row>
    <row r="583" spans="1:9" x14ac:dyDescent="0.3">
      <c r="A583" s="1" t="s">
        <v>600</v>
      </c>
      <c r="B583" s="1" t="s">
        <v>12</v>
      </c>
      <c r="C583" s="1">
        <v>170</v>
      </c>
      <c r="D583" s="1">
        <v>37</v>
      </c>
      <c r="E583" s="1" t="s">
        <v>8</v>
      </c>
      <c r="F583" s="1">
        <v>47372</v>
      </c>
      <c r="G583" s="1" t="str">
        <f t="shared" si="27"/>
        <v>Sufficient</v>
      </c>
      <c r="H583" s="1">
        <f t="shared" si="28"/>
        <v>8053240</v>
      </c>
      <c r="I583" s="1">
        <f t="shared" si="29"/>
        <v>9474.4</v>
      </c>
    </row>
    <row r="584" spans="1:9" x14ac:dyDescent="0.3">
      <c r="A584" s="1" t="s">
        <v>601</v>
      </c>
      <c r="B584" s="1" t="s">
        <v>20</v>
      </c>
      <c r="C584" s="1">
        <v>89</v>
      </c>
      <c r="D584" s="1">
        <v>11</v>
      </c>
      <c r="E584" s="1" t="s">
        <v>8</v>
      </c>
      <c r="F584" s="1">
        <v>45083</v>
      </c>
      <c r="G584" s="1" t="str">
        <f t="shared" si="27"/>
        <v>Sufficient</v>
      </c>
      <c r="H584" s="1">
        <f t="shared" si="28"/>
        <v>4012387</v>
      </c>
      <c r="I584" s="1">
        <f t="shared" si="29"/>
        <v>9016.6</v>
      </c>
    </row>
    <row r="585" spans="1:9" x14ac:dyDescent="0.3">
      <c r="A585" s="1" t="s">
        <v>602</v>
      </c>
      <c r="B585" s="1" t="s">
        <v>12</v>
      </c>
      <c r="C585" s="1">
        <v>42</v>
      </c>
      <c r="D585" s="1">
        <v>11</v>
      </c>
      <c r="E585" s="1" t="s">
        <v>10</v>
      </c>
      <c r="F585" s="1">
        <v>47898</v>
      </c>
      <c r="G585" s="1" t="str">
        <f t="shared" si="27"/>
        <v>Sufficient</v>
      </c>
      <c r="H585" s="1">
        <f t="shared" si="28"/>
        <v>2011716</v>
      </c>
      <c r="I585" s="1">
        <f t="shared" si="29"/>
        <v>9579.6</v>
      </c>
    </row>
    <row r="586" spans="1:9" x14ac:dyDescent="0.3">
      <c r="A586" s="1" t="s">
        <v>603</v>
      </c>
      <c r="B586" s="1" t="s">
        <v>7</v>
      </c>
      <c r="C586" s="1">
        <v>66</v>
      </c>
      <c r="D586" s="1">
        <v>40</v>
      </c>
      <c r="E586" s="1" t="s">
        <v>10</v>
      </c>
      <c r="F586" s="1">
        <v>52325</v>
      </c>
      <c r="G586" s="1" t="str">
        <f t="shared" si="27"/>
        <v>Sufficient</v>
      </c>
      <c r="H586" s="1">
        <f t="shared" si="28"/>
        <v>3453450</v>
      </c>
      <c r="I586" s="1">
        <f t="shared" si="29"/>
        <v>10465</v>
      </c>
    </row>
    <row r="587" spans="1:9" x14ac:dyDescent="0.3">
      <c r="A587" s="1" t="s">
        <v>604</v>
      </c>
      <c r="B587" s="1" t="s">
        <v>29</v>
      </c>
      <c r="C587" s="1">
        <v>156</v>
      </c>
      <c r="D587" s="1">
        <v>17</v>
      </c>
      <c r="E587" s="1" t="s">
        <v>13</v>
      </c>
      <c r="F587" s="1">
        <v>35442</v>
      </c>
      <c r="G587" s="1" t="str">
        <f t="shared" si="27"/>
        <v>Sufficient</v>
      </c>
      <c r="H587" s="1">
        <f t="shared" si="28"/>
        <v>5528952</v>
      </c>
      <c r="I587" s="1">
        <f t="shared" si="29"/>
        <v>7088.4000000000005</v>
      </c>
    </row>
    <row r="588" spans="1:9" x14ac:dyDescent="0.3">
      <c r="A588" s="1" t="s">
        <v>605</v>
      </c>
      <c r="B588" s="1" t="s">
        <v>25</v>
      </c>
      <c r="C588" s="1">
        <v>61</v>
      </c>
      <c r="D588" s="1">
        <v>50</v>
      </c>
      <c r="E588" s="1" t="s">
        <v>10</v>
      </c>
      <c r="F588" s="1">
        <v>27944</v>
      </c>
      <c r="G588" s="1" t="str">
        <f t="shared" si="27"/>
        <v>Sufficient</v>
      </c>
      <c r="H588" s="1">
        <f t="shared" si="28"/>
        <v>1704584</v>
      </c>
      <c r="I588" s="1">
        <f t="shared" si="29"/>
        <v>5588.8</v>
      </c>
    </row>
    <row r="589" spans="1:9" x14ac:dyDescent="0.3">
      <c r="A589" s="1" t="s">
        <v>606</v>
      </c>
      <c r="B589" s="1" t="s">
        <v>20</v>
      </c>
      <c r="C589" s="1">
        <v>177</v>
      </c>
      <c r="D589" s="1">
        <v>32</v>
      </c>
      <c r="E589" s="1" t="s">
        <v>8</v>
      </c>
      <c r="F589" s="1">
        <v>78833</v>
      </c>
      <c r="G589" s="1" t="str">
        <f t="shared" si="27"/>
        <v>Sufficient</v>
      </c>
      <c r="H589" s="1">
        <f t="shared" si="28"/>
        <v>13953441</v>
      </c>
      <c r="I589" s="1">
        <f t="shared" si="29"/>
        <v>15766.6</v>
      </c>
    </row>
    <row r="590" spans="1:9" x14ac:dyDescent="0.3">
      <c r="A590" s="1" t="s">
        <v>607</v>
      </c>
      <c r="B590" s="1" t="s">
        <v>29</v>
      </c>
      <c r="C590" s="1">
        <v>52</v>
      </c>
      <c r="D590" s="1">
        <v>25</v>
      </c>
      <c r="E590" s="1" t="s">
        <v>26</v>
      </c>
      <c r="F590" s="1">
        <v>27227</v>
      </c>
      <c r="G590" s="1" t="str">
        <f t="shared" si="27"/>
        <v>Sufficient</v>
      </c>
      <c r="H590" s="1">
        <f t="shared" si="28"/>
        <v>1415804</v>
      </c>
      <c r="I590" s="1">
        <f t="shared" si="29"/>
        <v>5445.4000000000005</v>
      </c>
    </row>
    <row r="591" spans="1:9" x14ac:dyDescent="0.3">
      <c r="A591" s="1" t="s">
        <v>608</v>
      </c>
      <c r="B591" s="1" t="s">
        <v>20</v>
      </c>
      <c r="C591" s="1">
        <v>109</v>
      </c>
      <c r="D591" s="1">
        <v>23</v>
      </c>
      <c r="E591" s="1" t="s">
        <v>13</v>
      </c>
      <c r="F591" s="1">
        <v>28627</v>
      </c>
      <c r="G591" s="1" t="str">
        <f t="shared" si="27"/>
        <v>Sufficient</v>
      </c>
      <c r="H591" s="1">
        <f t="shared" si="28"/>
        <v>3120343</v>
      </c>
      <c r="I591" s="1">
        <f t="shared" si="29"/>
        <v>5725.4000000000005</v>
      </c>
    </row>
    <row r="592" spans="1:9" x14ac:dyDescent="0.3">
      <c r="A592" s="1" t="s">
        <v>609</v>
      </c>
      <c r="B592" s="1" t="s">
        <v>25</v>
      </c>
      <c r="C592" s="1">
        <v>113</v>
      </c>
      <c r="D592" s="1">
        <v>21</v>
      </c>
      <c r="E592" s="1" t="s">
        <v>16</v>
      </c>
      <c r="F592" s="1">
        <v>1006</v>
      </c>
      <c r="G592" s="1" t="str">
        <f t="shared" si="27"/>
        <v>Sufficient</v>
      </c>
      <c r="H592" s="1">
        <f t="shared" si="28"/>
        <v>113678</v>
      </c>
      <c r="I592" s="1">
        <f t="shared" si="29"/>
        <v>201.20000000000002</v>
      </c>
    </row>
    <row r="593" spans="1:9" x14ac:dyDescent="0.3">
      <c r="A593" s="1" t="s">
        <v>610</v>
      </c>
      <c r="B593" s="1" t="s">
        <v>7</v>
      </c>
      <c r="C593" s="1">
        <v>35</v>
      </c>
      <c r="D593" s="1">
        <v>26</v>
      </c>
      <c r="E593" s="1" t="s">
        <v>8</v>
      </c>
      <c r="F593" s="1">
        <v>76551</v>
      </c>
      <c r="G593" s="1" t="str">
        <f t="shared" si="27"/>
        <v>Sufficient</v>
      </c>
      <c r="H593" s="1">
        <f t="shared" si="28"/>
        <v>2679285</v>
      </c>
      <c r="I593" s="1">
        <f t="shared" si="29"/>
        <v>15310.2</v>
      </c>
    </row>
    <row r="594" spans="1:9" x14ac:dyDescent="0.3">
      <c r="A594" s="1" t="s">
        <v>611</v>
      </c>
      <c r="B594" s="1" t="s">
        <v>29</v>
      </c>
      <c r="C594" s="1">
        <v>174</v>
      </c>
      <c r="D594" s="1">
        <v>31</v>
      </c>
      <c r="E594" s="1" t="s">
        <v>16</v>
      </c>
      <c r="F594" s="1">
        <v>5670</v>
      </c>
      <c r="G594" s="1" t="str">
        <f t="shared" si="27"/>
        <v>Sufficient</v>
      </c>
      <c r="H594" s="1">
        <f t="shared" si="28"/>
        <v>986580</v>
      </c>
      <c r="I594" s="1">
        <f t="shared" si="29"/>
        <v>1134</v>
      </c>
    </row>
    <row r="595" spans="1:9" x14ac:dyDescent="0.3">
      <c r="A595" s="1" t="s">
        <v>612</v>
      </c>
      <c r="B595" s="1" t="s">
        <v>12</v>
      </c>
      <c r="C595" s="1">
        <v>1</v>
      </c>
      <c r="D595" s="1">
        <v>17</v>
      </c>
      <c r="E595" s="1" t="s">
        <v>16</v>
      </c>
      <c r="F595" s="1">
        <v>69514</v>
      </c>
      <c r="G595" s="1" t="str">
        <f t="shared" si="27"/>
        <v>Low Stock</v>
      </c>
      <c r="H595" s="1">
        <f t="shared" si="28"/>
        <v>69514</v>
      </c>
      <c r="I595" s="1">
        <f t="shared" si="29"/>
        <v>13902.800000000001</v>
      </c>
    </row>
    <row r="596" spans="1:9" x14ac:dyDescent="0.3">
      <c r="A596" s="1" t="s">
        <v>613</v>
      </c>
      <c r="B596" s="1" t="s">
        <v>7</v>
      </c>
      <c r="C596" s="1">
        <v>54</v>
      </c>
      <c r="D596" s="1">
        <v>43</v>
      </c>
      <c r="E596" s="1" t="s">
        <v>26</v>
      </c>
      <c r="F596" s="1">
        <v>2452</v>
      </c>
      <c r="G596" s="1" t="str">
        <f t="shared" si="27"/>
        <v>Sufficient</v>
      </c>
      <c r="H596" s="1">
        <f t="shared" si="28"/>
        <v>132408</v>
      </c>
      <c r="I596" s="1">
        <f t="shared" si="29"/>
        <v>490.40000000000003</v>
      </c>
    </row>
    <row r="597" spans="1:9" x14ac:dyDescent="0.3">
      <c r="A597" s="1" t="s">
        <v>614</v>
      </c>
      <c r="B597" s="1" t="s">
        <v>29</v>
      </c>
      <c r="C597" s="1">
        <v>116</v>
      </c>
      <c r="D597" s="1">
        <v>18</v>
      </c>
      <c r="E597" s="1" t="s">
        <v>16</v>
      </c>
      <c r="F597" s="1">
        <v>50923</v>
      </c>
      <c r="G597" s="1" t="str">
        <f t="shared" si="27"/>
        <v>Sufficient</v>
      </c>
      <c r="H597" s="1">
        <f t="shared" si="28"/>
        <v>5907068</v>
      </c>
      <c r="I597" s="1">
        <f t="shared" si="29"/>
        <v>10184.6</v>
      </c>
    </row>
    <row r="598" spans="1:9" x14ac:dyDescent="0.3">
      <c r="A598" s="1" t="s">
        <v>615</v>
      </c>
      <c r="B598" s="1" t="s">
        <v>20</v>
      </c>
      <c r="C598" s="1">
        <v>56</v>
      </c>
      <c r="D598" s="1">
        <v>22</v>
      </c>
      <c r="E598" s="1" t="s">
        <v>26</v>
      </c>
      <c r="F598" s="1">
        <v>52825</v>
      </c>
      <c r="G598" s="1" t="str">
        <f t="shared" si="27"/>
        <v>Sufficient</v>
      </c>
      <c r="H598" s="1">
        <f t="shared" si="28"/>
        <v>2958200</v>
      </c>
      <c r="I598" s="1">
        <f t="shared" si="29"/>
        <v>10565</v>
      </c>
    </row>
    <row r="599" spans="1:9" x14ac:dyDescent="0.3">
      <c r="A599" s="1" t="s">
        <v>616</v>
      </c>
      <c r="B599" s="1" t="s">
        <v>25</v>
      </c>
      <c r="C599" s="1">
        <v>3</v>
      </c>
      <c r="D599" s="1">
        <v>22</v>
      </c>
      <c r="E599" s="1" t="s">
        <v>13</v>
      </c>
      <c r="F599" s="1">
        <v>37851</v>
      </c>
      <c r="G599" s="1" t="str">
        <f t="shared" si="27"/>
        <v>Low Stock</v>
      </c>
      <c r="H599" s="1">
        <f t="shared" si="28"/>
        <v>113553</v>
      </c>
      <c r="I599" s="1">
        <f t="shared" si="29"/>
        <v>7570.2000000000007</v>
      </c>
    </row>
    <row r="600" spans="1:9" x14ac:dyDescent="0.3">
      <c r="A600" s="1" t="s">
        <v>617</v>
      </c>
      <c r="B600" s="1" t="s">
        <v>18</v>
      </c>
      <c r="C600" s="1">
        <v>146</v>
      </c>
      <c r="D600" s="1">
        <v>50</v>
      </c>
      <c r="E600" s="1" t="s">
        <v>16</v>
      </c>
      <c r="F600" s="1">
        <v>77175</v>
      </c>
      <c r="G600" s="1" t="str">
        <f t="shared" si="27"/>
        <v>Sufficient</v>
      </c>
      <c r="H600" s="1">
        <f t="shared" si="28"/>
        <v>11267550</v>
      </c>
      <c r="I600" s="1">
        <f t="shared" si="29"/>
        <v>15435</v>
      </c>
    </row>
    <row r="601" spans="1:9" x14ac:dyDescent="0.3">
      <c r="A601" s="1" t="s">
        <v>618</v>
      </c>
      <c r="B601" s="1" t="s">
        <v>20</v>
      </c>
      <c r="C601" s="1">
        <v>1</v>
      </c>
      <c r="D601" s="1">
        <v>47</v>
      </c>
      <c r="E601" s="1" t="s">
        <v>10</v>
      </c>
      <c r="F601" s="1">
        <v>67158</v>
      </c>
      <c r="G601" s="1" t="str">
        <f t="shared" si="27"/>
        <v>Low Stock</v>
      </c>
      <c r="H601" s="1">
        <f t="shared" si="28"/>
        <v>67158</v>
      </c>
      <c r="I601" s="1">
        <f t="shared" si="29"/>
        <v>13431.6</v>
      </c>
    </row>
    <row r="602" spans="1:9" x14ac:dyDescent="0.3">
      <c r="A602" s="1" t="s">
        <v>619</v>
      </c>
      <c r="B602" s="1" t="s">
        <v>15</v>
      </c>
      <c r="C602" s="1">
        <v>190</v>
      </c>
      <c r="D602" s="1">
        <v>34</v>
      </c>
      <c r="E602" s="1" t="s">
        <v>10</v>
      </c>
      <c r="F602" s="1">
        <v>51126</v>
      </c>
      <c r="G602" s="1" t="str">
        <f t="shared" si="27"/>
        <v>Sufficient</v>
      </c>
      <c r="H602" s="1">
        <f t="shared" si="28"/>
        <v>9713940</v>
      </c>
      <c r="I602" s="1">
        <f t="shared" si="29"/>
        <v>10225.200000000001</v>
      </c>
    </row>
    <row r="603" spans="1:9" x14ac:dyDescent="0.3">
      <c r="A603" s="1" t="s">
        <v>620</v>
      </c>
      <c r="B603" s="1" t="s">
        <v>29</v>
      </c>
      <c r="C603" s="1">
        <v>166</v>
      </c>
      <c r="D603" s="1">
        <v>42</v>
      </c>
      <c r="E603" s="1" t="s">
        <v>8</v>
      </c>
      <c r="F603" s="1">
        <v>13657</v>
      </c>
      <c r="G603" s="1" t="str">
        <f t="shared" si="27"/>
        <v>Sufficient</v>
      </c>
      <c r="H603" s="1">
        <f t="shared" si="28"/>
        <v>2267062</v>
      </c>
      <c r="I603" s="1">
        <f t="shared" si="29"/>
        <v>2731.4</v>
      </c>
    </row>
    <row r="604" spans="1:9" x14ac:dyDescent="0.3">
      <c r="A604" s="1" t="s">
        <v>621</v>
      </c>
      <c r="B604" s="1" t="s">
        <v>25</v>
      </c>
      <c r="C604" s="1">
        <v>149</v>
      </c>
      <c r="D604" s="1">
        <v>49</v>
      </c>
      <c r="E604" s="1" t="s">
        <v>13</v>
      </c>
      <c r="F604" s="1">
        <v>10794</v>
      </c>
      <c r="G604" s="1" t="str">
        <f t="shared" si="27"/>
        <v>Sufficient</v>
      </c>
      <c r="H604" s="1">
        <f t="shared" si="28"/>
        <v>1608306</v>
      </c>
      <c r="I604" s="1">
        <f t="shared" si="29"/>
        <v>2158.8000000000002</v>
      </c>
    </row>
    <row r="605" spans="1:9" x14ac:dyDescent="0.3">
      <c r="A605" s="1" t="s">
        <v>622</v>
      </c>
      <c r="B605" s="1" t="s">
        <v>20</v>
      </c>
      <c r="C605" s="1">
        <v>136</v>
      </c>
      <c r="D605" s="1">
        <v>17</v>
      </c>
      <c r="E605" s="1" t="s">
        <v>13</v>
      </c>
      <c r="F605" s="1">
        <v>10762</v>
      </c>
      <c r="G605" s="1" t="str">
        <f t="shared" si="27"/>
        <v>Sufficient</v>
      </c>
      <c r="H605" s="1">
        <f t="shared" si="28"/>
        <v>1463632</v>
      </c>
      <c r="I605" s="1">
        <f t="shared" si="29"/>
        <v>2152.4</v>
      </c>
    </row>
    <row r="606" spans="1:9" x14ac:dyDescent="0.3">
      <c r="A606" s="1" t="s">
        <v>623</v>
      </c>
      <c r="B606" s="1" t="s">
        <v>29</v>
      </c>
      <c r="C606" s="1">
        <v>175</v>
      </c>
      <c r="D606" s="1">
        <v>33</v>
      </c>
      <c r="E606" s="1" t="s">
        <v>10</v>
      </c>
      <c r="F606" s="1">
        <v>12827</v>
      </c>
      <c r="G606" s="1" t="str">
        <f t="shared" si="27"/>
        <v>Sufficient</v>
      </c>
      <c r="H606" s="1">
        <f t="shared" si="28"/>
        <v>2244725</v>
      </c>
      <c r="I606" s="1">
        <f t="shared" si="29"/>
        <v>2565.4</v>
      </c>
    </row>
    <row r="607" spans="1:9" x14ac:dyDescent="0.3">
      <c r="A607" s="1" t="s">
        <v>624</v>
      </c>
      <c r="B607" s="1" t="s">
        <v>12</v>
      </c>
      <c r="C607" s="1">
        <v>27</v>
      </c>
      <c r="D607" s="1">
        <v>21</v>
      </c>
      <c r="E607" s="1" t="s">
        <v>26</v>
      </c>
      <c r="F607" s="1">
        <v>31337</v>
      </c>
      <c r="G607" s="1" t="str">
        <f t="shared" si="27"/>
        <v>Sufficient</v>
      </c>
      <c r="H607" s="1">
        <f t="shared" si="28"/>
        <v>846099</v>
      </c>
      <c r="I607" s="1">
        <f t="shared" si="29"/>
        <v>6267.4000000000005</v>
      </c>
    </row>
    <row r="608" spans="1:9" x14ac:dyDescent="0.3">
      <c r="A608" s="1" t="s">
        <v>625</v>
      </c>
      <c r="B608" s="1" t="s">
        <v>29</v>
      </c>
      <c r="C608" s="1">
        <v>156</v>
      </c>
      <c r="D608" s="1">
        <v>10</v>
      </c>
      <c r="E608" s="1" t="s">
        <v>10</v>
      </c>
      <c r="F608" s="1">
        <v>55630</v>
      </c>
      <c r="G608" s="1" t="str">
        <f t="shared" si="27"/>
        <v>Sufficient</v>
      </c>
      <c r="H608" s="1">
        <f t="shared" si="28"/>
        <v>8678280</v>
      </c>
      <c r="I608" s="1">
        <f t="shared" si="29"/>
        <v>11126</v>
      </c>
    </row>
    <row r="609" spans="1:9" x14ac:dyDescent="0.3">
      <c r="A609" s="1" t="s">
        <v>626</v>
      </c>
      <c r="B609" s="1" t="s">
        <v>25</v>
      </c>
      <c r="C609" s="1">
        <v>127</v>
      </c>
      <c r="D609" s="1">
        <v>29</v>
      </c>
      <c r="E609" s="1" t="s">
        <v>8</v>
      </c>
      <c r="F609" s="1">
        <v>79716</v>
      </c>
      <c r="G609" s="1" t="str">
        <f t="shared" si="27"/>
        <v>Sufficient</v>
      </c>
      <c r="H609" s="1">
        <f t="shared" si="28"/>
        <v>10123932</v>
      </c>
      <c r="I609" s="1">
        <f t="shared" si="29"/>
        <v>15943.2</v>
      </c>
    </row>
    <row r="610" spans="1:9" x14ac:dyDescent="0.3">
      <c r="A610" s="1" t="s">
        <v>627</v>
      </c>
      <c r="B610" s="1" t="s">
        <v>29</v>
      </c>
      <c r="C610" s="1">
        <v>130</v>
      </c>
      <c r="D610" s="1">
        <v>40</v>
      </c>
      <c r="E610" s="1" t="s">
        <v>13</v>
      </c>
      <c r="F610" s="1">
        <v>3437</v>
      </c>
      <c r="G610" s="1" t="str">
        <f t="shared" si="27"/>
        <v>Sufficient</v>
      </c>
      <c r="H610" s="1">
        <f t="shared" si="28"/>
        <v>446810</v>
      </c>
      <c r="I610" s="1">
        <f t="shared" si="29"/>
        <v>687.40000000000009</v>
      </c>
    </row>
    <row r="611" spans="1:9" x14ac:dyDescent="0.3">
      <c r="A611" s="1" t="s">
        <v>628</v>
      </c>
      <c r="B611" s="1" t="s">
        <v>29</v>
      </c>
      <c r="C611" s="1">
        <v>157</v>
      </c>
      <c r="D611" s="1">
        <v>38</v>
      </c>
      <c r="E611" s="1" t="s">
        <v>8</v>
      </c>
      <c r="F611" s="1">
        <v>77051</v>
      </c>
      <c r="G611" s="1" t="str">
        <f t="shared" si="27"/>
        <v>Sufficient</v>
      </c>
      <c r="H611" s="1">
        <f t="shared" si="28"/>
        <v>12097007</v>
      </c>
      <c r="I611" s="1">
        <f t="shared" si="29"/>
        <v>15410.2</v>
      </c>
    </row>
    <row r="612" spans="1:9" x14ac:dyDescent="0.3">
      <c r="A612" s="1" t="s">
        <v>629</v>
      </c>
      <c r="B612" s="1" t="s">
        <v>12</v>
      </c>
      <c r="C612" s="1">
        <v>164</v>
      </c>
      <c r="D612" s="1">
        <v>13</v>
      </c>
      <c r="E612" s="1" t="s">
        <v>10</v>
      </c>
      <c r="F612" s="1">
        <v>66076</v>
      </c>
      <c r="G612" s="1" t="str">
        <f t="shared" si="27"/>
        <v>Sufficient</v>
      </c>
      <c r="H612" s="1">
        <f t="shared" si="28"/>
        <v>10836464</v>
      </c>
      <c r="I612" s="1">
        <f t="shared" si="29"/>
        <v>13215.2</v>
      </c>
    </row>
    <row r="613" spans="1:9" x14ac:dyDescent="0.3">
      <c r="A613" s="1" t="s">
        <v>630</v>
      </c>
      <c r="B613" s="1" t="s">
        <v>15</v>
      </c>
      <c r="C613" s="1">
        <v>62</v>
      </c>
      <c r="D613" s="1">
        <v>24</v>
      </c>
      <c r="E613" s="1" t="s">
        <v>13</v>
      </c>
      <c r="F613" s="1">
        <v>22462</v>
      </c>
      <c r="G613" s="1" t="str">
        <f t="shared" si="27"/>
        <v>Sufficient</v>
      </c>
      <c r="H613" s="1">
        <f t="shared" si="28"/>
        <v>1392644</v>
      </c>
      <c r="I613" s="1">
        <f t="shared" si="29"/>
        <v>4492.4000000000005</v>
      </c>
    </row>
    <row r="614" spans="1:9" x14ac:dyDescent="0.3">
      <c r="A614" s="1" t="s">
        <v>631</v>
      </c>
      <c r="B614" s="1" t="s">
        <v>7</v>
      </c>
      <c r="C614" s="1">
        <v>39</v>
      </c>
      <c r="D614" s="1">
        <v>10</v>
      </c>
      <c r="E614" s="1" t="s">
        <v>8</v>
      </c>
      <c r="F614" s="1">
        <v>55630</v>
      </c>
      <c r="G614" s="1" t="str">
        <f t="shared" si="27"/>
        <v>Sufficient</v>
      </c>
      <c r="H614" s="1">
        <f t="shared" si="28"/>
        <v>2169570</v>
      </c>
      <c r="I614" s="1">
        <f t="shared" si="29"/>
        <v>11126</v>
      </c>
    </row>
    <row r="615" spans="1:9" x14ac:dyDescent="0.3">
      <c r="A615" s="1" t="s">
        <v>632</v>
      </c>
      <c r="B615" s="1" t="s">
        <v>23</v>
      </c>
      <c r="C615" s="1">
        <v>184</v>
      </c>
      <c r="D615" s="1">
        <v>15</v>
      </c>
      <c r="E615" s="1" t="s">
        <v>13</v>
      </c>
      <c r="F615" s="1">
        <v>2045</v>
      </c>
      <c r="G615" s="1" t="str">
        <f t="shared" si="27"/>
        <v>Sufficient</v>
      </c>
      <c r="H615" s="1">
        <f t="shared" si="28"/>
        <v>376280</v>
      </c>
      <c r="I615" s="1">
        <f t="shared" si="29"/>
        <v>409</v>
      </c>
    </row>
    <row r="616" spans="1:9" x14ac:dyDescent="0.3">
      <c r="A616" s="1" t="s">
        <v>633</v>
      </c>
      <c r="B616" s="1" t="s">
        <v>25</v>
      </c>
      <c r="C616" s="1">
        <v>133</v>
      </c>
      <c r="D616" s="1">
        <v>11</v>
      </c>
      <c r="E616" s="1" t="s">
        <v>16</v>
      </c>
      <c r="F616" s="1">
        <v>18830</v>
      </c>
      <c r="G616" s="1" t="str">
        <f t="shared" si="27"/>
        <v>Sufficient</v>
      </c>
      <c r="H616" s="1">
        <f t="shared" si="28"/>
        <v>2504390</v>
      </c>
      <c r="I616" s="1">
        <f t="shared" si="29"/>
        <v>3766</v>
      </c>
    </row>
    <row r="617" spans="1:9" x14ac:dyDescent="0.3">
      <c r="A617" s="1" t="s">
        <v>634</v>
      </c>
      <c r="B617" s="1" t="s">
        <v>23</v>
      </c>
      <c r="C617" s="1">
        <v>135</v>
      </c>
      <c r="D617" s="1">
        <v>34</v>
      </c>
      <c r="E617" s="1" t="s">
        <v>16</v>
      </c>
      <c r="F617" s="1">
        <v>64212</v>
      </c>
      <c r="G617" s="1" t="str">
        <f t="shared" si="27"/>
        <v>Sufficient</v>
      </c>
      <c r="H617" s="1">
        <f t="shared" si="28"/>
        <v>8668620</v>
      </c>
      <c r="I617" s="1">
        <f t="shared" si="29"/>
        <v>12842.400000000001</v>
      </c>
    </row>
    <row r="618" spans="1:9" x14ac:dyDescent="0.3">
      <c r="A618" s="1" t="s">
        <v>635</v>
      </c>
      <c r="B618" s="1" t="s">
        <v>15</v>
      </c>
      <c r="C618" s="1">
        <v>58</v>
      </c>
      <c r="D618" s="1">
        <v>21</v>
      </c>
      <c r="E618" s="1" t="s">
        <v>13</v>
      </c>
      <c r="F618" s="1">
        <v>33918</v>
      </c>
      <c r="G618" s="1" t="str">
        <f t="shared" si="27"/>
        <v>Sufficient</v>
      </c>
      <c r="H618" s="1">
        <f t="shared" si="28"/>
        <v>1967244</v>
      </c>
      <c r="I618" s="1">
        <f t="shared" si="29"/>
        <v>6783.6</v>
      </c>
    </row>
    <row r="619" spans="1:9" x14ac:dyDescent="0.3">
      <c r="A619" s="1" t="s">
        <v>636</v>
      </c>
      <c r="B619" s="1" t="s">
        <v>29</v>
      </c>
      <c r="C619" s="1">
        <v>56</v>
      </c>
      <c r="D619" s="1">
        <v>42</v>
      </c>
      <c r="E619" s="1" t="s">
        <v>26</v>
      </c>
      <c r="F619" s="1">
        <v>78303</v>
      </c>
      <c r="G619" s="1" t="str">
        <f t="shared" si="27"/>
        <v>Sufficient</v>
      </c>
      <c r="H619" s="1">
        <f t="shared" si="28"/>
        <v>4384968</v>
      </c>
      <c r="I619" s="1">
        <f t="shared" si="29"/>
        <v>15660.6</v>
      </c>
    </row>
    <row r="620" spans="1:9" x14ac:dyDescent="0.3">
      <c r="A620" s="1" t="s">
        <v>637</v>
      </c>
      <c r="B620" s="1" t="s">
        <v>18</v>
      </c>
      <c r="C620" s="1">
        <v>70</v>
      </c>
      <c r="D620" s="1">
        <v>47</v>
      </c>
      <c r="E620" s="1" t="s">
        <v>13</v>
      </c>
      <c r="F620" s="1">
        <v>79176</v>
      </c>
      <c r="G620" s="1" t="str">
        <f t="shared" si="27"/>
        <v>Sufficient</v>
      </c>
      <c r="H620" s="1">
        <f t="shared" si="28"/>
        <v>5542320</v>
      </c>
      <c r="I620" s="1">
        <f t="shared" si="29"/>
        <v>15835.2</v>
      </c>
    </row>
    <row r="621" spans="1:9" x14ac:dyDescent="0.3">
      <c r="A621" s="1" t="s">
        <v>638</v>
      </c>
      <c r="B621" s="1" t="s">
        <v>15</v>
      </c>
      <c r="C621" s="1">
        <v>28</v>
      </c>
      <c r="D621" s="1">
        <v>10</v>
      </c>
      <c r="E621" s="1" t="s">
        <v>10</v>
      </c>
      <c r="F621" s="1">
        <v>25471</v>
      </c>
      <c r="G621" s="1" t="str">
        <f t="shared" si="27"/>
        <v>Sufficient</v>
      </c>
      <c r="H621" s="1">
        <f t="shared" si="28"/>
        <v>713188</v>
      </c>
      <c r="I621" s="1">
        <f t="shared" si="29"/>
        <v>5094.2000000000007</v>
      </c>
    </row>
    <row r="622" spans="1:9" x14ac:dyDescent="0.3">
      <c r="A622" s="1" t="s">
        <v>639</v>
      </c>
      <c r="B622" s="1" t="s">
        <v>20</v>
      </c>
      <c r="C622" s="1">
        <v>48</v>
      </c>
      <c r="D622" s="1">
        <v>24</v>
      </c>
      <c r="E622" s="1" t="s">
        <v>8</v>
      </c>
      <c r="F622" s="1">
        <v>31745</v>
      </c>
      <c r="G622" s="1" t="str">
        <f t="shared" si="27"/>
        <v>Sufficient</v>
      </c>
      <c r="H622" s="1">
        <f t="shared" si="28"/>
        <v>1523760</v>
      </c>
      <c r="I622" s="1">
        <f t="shared" si="29"/>
        <v>6349</v>
      </c>
    </row>
    <row r="623" spans="1:9" x14ac:dyDescent="0.3">
      <c r="A623" s="1" t="s">
        <v>640</v>
      </c>
      <c r="B623" s="1" t="s">
        <v>18</v>
      </c>
      <c r="C623" s="1">
        <v>120</v>
      </c>
      <c r="D623" s="1">
        <v>38</v>
      </c>
      <c r="E623" s="1" t="s">
        <v>13</v>
      </c>
      <c r="F623" s="1">
        <v>49140</v>
      </c>
      <c r="G623" s="1" t="str">
        <f t="shared" si="27"/>
        <v>Sufficient</v>
      </c>
      <c r="H623" s="1">
        <f t="shared" si="28"/>
        <v>5896800</v>
      </c>
      <c r="I623" s="1">
        <f t="shared" si="29"/>
        <v>9828</v>
      </c>
    </row>
    <row r="624" spans="1:9" x14ac:dyDescent="0.3">
      <c r="A624" s="1" t="s">
        <v>641</v>
      </c>
      <c r="B624" s="1" t="s">
        <v>7</v>
      </c>
      <c r="C624" s="1">
        <v>68</v>
      </c>
      <c r="D624" s="1">
        <v>21</v>
      </c>
      <c r="E624" s="1" t="s">
        <v>10</v>
      </c>
      <c r="F624" s="1">
        <v>53661</v>
      </c>
      <c r="G624" s="1" t="str">
        <f t="shared" si="27"/>
        <v>Sufficient</v>
      </c>
      <c r="H624" s="1">
        <f t="shared" si="28"/>
        <v>3648948</v>
      </c>
      <c r="I624" s="1">
        <f t="shared" si="29"/>
        <v>10732.2</v>
      </c>
    </row>
    <row r="625" spans="1:9" x14ac:dyDescent="0.3">
      <c r="A625" s="1" t="s">
        <v>642</v>
      </c>
      <c r="B625" s="1" t="s">
        <v>15</v>
      </c>
      <c r="C625" s="1">
        <v>125</v>
      </c>
      <c r="D625" s="1">
        <v>49</v>
      </c>
      <c r="E625" s="1" t="s">
        <v>13</v>
      </c>
      <c r="F625" s="1">
        <v>75830</v>
      </c>
      <c r="G625" s="1" t="str">
        <f t="shared" si="27"/>
        <v>Sufficient</v>
      </c>
      <c r="H625" s="1">
        <f t="shared" si="28"/>
        <v>9478750</v>
      </c>
      <c r="I625" s="1">
        <f t="shared" si="29"/>
        <v>15166</v>
      </c>
    </row>
    <row r="626" spans="1:9" x14ac:dyDescent="0.3">
      <c r="A626" s="1" t="s">
        <v>643</v>
      </c>
      <c r="B626" s="1" t="s">
        <v>29</v>
      </c>
      <c r="C626" s="1">
        <v>68</v>
      </c>
      <c r="D626" s="1">
        <v>20</v>
      </c>
      <c r="E626" s="1" t="s">
        <v>13</v>
      </c>
      <c r="F626" s="1">
        <v>34681</v>
      </c>
      <c r="G626" s="1" t="str">
        <f t="shared" si="27"/>
        <v>Sufficient</v>
      </c>
      <c r="H626" s="1">
        <f t="shared" si="28"/>
        <v>2358308</v>
      </c>
      <c r="I626" s="1">
        <f t="shared" si="29"/>
        <v>6936.2000000000007</v>
      </c>
    </row>
    <row r="627" spans="1:9" x14ac:dyDescent="0.3">
      <c r="A627" s="1" t="s">
        <v>644</v>
      </c>
      <c r="B627" s="1" t="s">
        <v>12</v>
      </c>
      <c r="C627" s="1">
        <v>31</v>
      </c>
      <c r="D627" s="1">
        <v>41</v>
      </c>
      <c r="E627" s="1" t="s">
        <v>8</v>
      </c>
      <c r="F627" s="1">
        <v>15974</v>
      </c>
      <c r="G627" s="1" t="str">
        <f t="shared" si="27"/>
        <v>Low Stock</v>
      </c>
      <c r="H627" s="1">
        <f t="shared" si="28"/>
        <v>495194</v>
      </c>
      <c r="I627" s="1">
        <f t="shared" si="29"/>
        <v>3194.8</v>
      </c>
    </row>
    <row r="628" spans="1:9" x14ac:dyDescent="0.3">
      <c r="A628" s="1" t="s">
        <v>645</v>
      </c>
      <c r="B628" s="1" t="s">
        <v>7</v>
      </c>
      <c r="C628" s="1">
        <v>139</v>
      </c>
      <c r="D628" s="1">
        <v>18</v>
      </c>
      <c r="E628" s="1" t="s">
        <v>26</v>
      </c>
      <c r="F628" s="1">
        <v>69126</v>
      </c>
      <c r="G628" s="1" t="str">
        <f t="shared" si="27"/>
        <v>Sufficient</v>
      </c>
      <c r="H628" s="1">
        <f t="shared" si="28"/>
        <v>9608514</v>
      </c>
      <c r="I628" s="1">
        <f t="shared" si="29"/>
        <v>13825.2</v>
      </c>
    </row>
    <row r="629" spans="1:9" x14ac:dyDescent="0.3">
      <c r="A629" s="1" t="s">
        <v>646</v>
      </c>
      <c r="B629" s="1" t="s">
        <v>12</v>
      </c>
      <c r="C629" s="1">
        <v>75</v>
      </c>
      <c r="D629" s="1">
        <v>44</v>
      </c>
      <c r="E629" s="1" t="s">
        <v>8</v>
      </c>
      <c r="F629" s="1">
        <v>53348</v>
      </c>
      <c r="G629" s="1" t="str">
        <f t="shared" si="27"/>
        <v>Sufficient</v>
      </c>
      <c r="H629" s="1">
        <f t="shared" si="28"/>
        <v>4001100</v>
      </c>
      <c r="I629" s="1">
        <f t="shared" si="29"/>
        <v>10669.6</v>
      </c>
    </row>
    <row r="630" spans="1:9" x14ac:dyDescent="0.3">
      <c r="A630" s="1" t="s">
        <v>647</v>
      </c>
      <c r="B630" s="1" t="s">
        <v>23</v>
      </c>
      <c r="C630" s="1">
        <v>118</v>
      </c>
      <c r="D630" s="1">
        <v>40</v>
      </c>
      <c r="E630" s="1" t="s">
        <v>16</v>
      </c>
      <c r="F630" s="1">
        <v>52431</v>
      </c>
      <c r="G630" s="1" t="str">
        <f t="shared" si="27"/>
        <v>Sufficient</v>
      </c>
      <c r="H630" s="1">
        <f t="shared" si="28"/>
        <v>6186858</v>
      </c>
      <c r="I630" s="1">
        <f t="shared" si="29"/>
        <v>10486.2</v>
      </c>
    </row>
    <row r="631" spans="1:9" x14ac:dyDescent="0.3">
      <c r="A631" s="1" t="s">
        <v>648</v>
      </c>
      <c r="B631" s="1" t="s">
        <v>7</v>
      </c>
      <c r="C631" s="1">
        <v>15</v>
      </c>
      <c r="D631" s="1">
        <v>23</v>
      </c>
      <c r="E631" s="1" t="s">
        <v>16</v>
      </c>
      <c r="F631" s="1">
        <v>14167</v>
      </c>
      <c r="G631" s="1" t="str">
        <f t="shared" si="27"/>
        <v>Low Stock</v>
      </c>
      <c r="H631" s="1">
        <f t="shared" si="28"/>
        <v>212505</v>
      </c>
      <c r="I631" s="1">
        <f t="shared" si="29"/>
        <v>2833.4</v>
      </c>
    </row>
    <row r="632" spans="1:9" x14ac:dyDescent="0.3">
      <c r="A632" s="1" t="s">
        <v>649</v>
      </c>
      <c r="B632" s="1" t="s">
        <v>12</v>
      </c>
      <c r="C632" s="1">
        <v>69</v>
      </c>
      <c r="D632" s="1">
        <v>18</v>
      </c>
      <c r="E632" s="1" t="s">
        <v>8</v>
      </c>
      <c r="F632" s="1">
        <v>57343</v>
      </c>
      <c r="G632" s="1" t="str">
        <f t="shared" si="27"/>
        <v>Sufficient</v>
      </c>
      <c r="H632" s="1">
        <f t="shared" si="28"/>
        <v>3956667</v>
      </c>
      <c r="I632" s="1">
        <f t="shared" si="29"/>
        <v>11468.6</v>
      </c>
    </row>
    <row r="633" spans="1:9" x14ac:dyDescent="0.3">
      <c r="A633" s="1" t="s">
        <v>650</v>
      </c>
      <c r="B633" s="1" t="s">
        <v>18</v>
      </c>
      <c r="C633" s="1">
        <v>183</v>
      </c>
      <c r="D633" s="1">
        <v>14</v>
      </c>
      <c r="E633" s="1" t="s">
        <v>10</v>
      </c>
      <c r="F633" s="1">
        <v>72312</v>
      </c>
      <c r="G633" s="1" t="str">
        <f t="shared" si="27"/>
        <v>Sufficient</v>
      </c>
      <c r="H633" s="1">
        <f t="shared" si="28"/>
        <v>13233096</v>
      </c>
      <c r="I633" s="1">
        <f t="shared" si="29"/>
        <v>14462.400000000001</v>
      </c>
    </row>
    <row r="634" spans="1:9" x14ac:dyDescent="0.3">
      <c r="A634" s="1" t="s">
        <v>651</v>
      </c>
      <c r="B634" s="1" t="s">
        <v>7</v>
      </c>
      <c r="C634" s="1">
        <v>187</v>
      </c>
      <c r="D634" s="1">
        <v>16</v>
      </c>
      <c r="E634" s="1" t="s">
        <v>13</v>
      </c>
      <c r="F634" s="1">
        <v>16808</v>
      </c>
      <c r="G634" s="1" t="str">
        <f t="shared" si="27"/>
        <v>Sufficient</v>
      </c>
      <c r="H634" s="1">
        <f t="shared" si="28"/>
        <v>3143096</v>
      </c>
      <c r="I634" s="1">
        <f t="shared" si="29"/>
        <v>3361.6000000000004</v>
      </c>
    </row>
    <row r="635" spans="1:9" x14ac:dyDescent="0.3">
      <c r="A635" s="1" t="s">
        <v>652</v>
      </c>
      <c r="B635" s="1" t="s">
        <v>25</v>
      </c>
      <c r="C635" s="1">
        <v>186</v>
      </c>
      <c r="D635" s="1">
        <v>10</v>
      </c>
      <c r="E635" s="1" t="s">
        <v>26</v>
      </c>
      <c r="F635" s="1">
        <v>56872</v>
      </c>
      <c r="G635" s="1" t="str">
        <f t="shared" si="27"/>
        <v>Sufficient</v>
      </c>
      <c r="H635" s="1">
        <f t="shared" si="28"/>
        <v>10578192</v>
      </c>
      <c r="I635" s="1">
        <f t="shared" si="29"/>
        <v>11374.400000000001</v>
      </c>
    </row>
    <row r="636" spans="1:9" x14ac:dyDescent="0.3">
      <c r="A636" s="1" t="s">
        <v>653</v>
      </c>
      <c r="B636" s="1" t="s">
        <v>12</v>
      </c>
      <c r="C636" s="1">
        <v>148</v>
      </c>
      <c r="D636" s="1">
        <v>24</v>
      </c>
      <c r="E636" s="1" t="s">
        <v>13</v>
      </c>
      <c r="F636" s="1">
        <v>68089</v>
      </c>
      <c r="G636" s="1" t="str">
        <f t="shared" si="27"/>
        <v>Sufficient</v>
      </c>
      <c r="H636" s="1">
        <f t="shared" si="28"/>
        <v>10077172</v>
      </c>
      <c r="I636" s="1">
        <f t="shared" si="29"/>
        <v>13617.800000000001</v>
      </c>
    </row>
    <row r="637" spans="1:9" x14ac:dyDescent="0.3">
      <c r="A637" s="1" t="s">
        <v>654</v>
      </c>
      <c r="B637" s="1" t="s">
        <v>7</v>
      </c>
      <c r="C637" s="1">
        <v>171</v>
      </c>
      <c r="D637" s="1">
        <v>20</v>
      </c>
      <c r="E637" s="1" t="s">
        <v>26</v>
      </c>
      <c r="F637" s="1">
        <v>9066</v>
      </c>
      <c r="G637" s="1" t="str">
        <f t="shared" si="27"/>
        <v>Sufficient</v>
      </c>
      <c r="H637" s="1">
        <f t="shared" si="28"/>
        <v>1550286</v>
      </c>
      <c r="I637" s="1">
        <f t="shared" si="29"/>
        <v>1813.2</v>
      </c>
    </row>
    <row r="638" spans="1:9" x14ac:dyDescent="0.3">
      <c r="A638" s="1" t="s">
        <v>655</v>
      </c>
      <c r="B638" s="1" t="s">
        <v>12</v>
      </c>
      <c r="C638" s="1">
        <v>181</v>
      </c>
      <c r="D638" s="1">
        <v>26</v>
      </c>
      <c r="E638" s="1" t="s">
        <v>8</v>
      </c>
      <c r="F638" s="1">
        <v>28695</v>
      </c>
      <c r="G638" s="1" t="str">
        <f t="shared" si="27"/>
        <v>Sufficient</v>
      </c>
      <c r="H638" s="1">
        <f t="shared" si="28"/>
        <v>5193795</v>
      </c>
      <c r="I638" s="1">
        <f t="shared" si="29"/>
        <v>5739</v>
      </c>
    </row>
    <row r="639" spans="1:9" x14ac:dyDescent="0.3">
      <c r="A639" s="1" t="s">
        <v>656</v>
      </c>
      <c r="B639" s="1" t="s">
        <v>23</v>
      </c>
      <c r="C639" s="1">
        <v>73</v>
      </c>
      <c r="D639" s="1">
        <v>14</v>
      </c>
      <c r="E639" s="1" t="s">
        <v>13</v>
      </c>
      <c r="F639" s="1">
        <v>31318</v>
      </c>
      <c r="G639" s="1" t="str">
        <f t="shared" si="27"/>
        <v>Sufficient</v>
      </c>
      <c r="H639" s="1">
        <f t="shared" si="28"/>
        <v>2286214</v>
      </c>
      <c r="I639" s="1">
        <f t="shared" si="29"/>
        <v>6263.6</v>
      </c>
    </row>
    <row r="640" spans="1:9" x14ac:dyDescent="0.3">
      <c r="A640" s="1" t="s">
        <v>657</v>
      </c>
      <c r="B640" s="1" t="s">
        <v>29</v>
      </c>
      <c r="C640" s="1">
        <v>107</v>
      </c>
      <c r="D640" s="1">
        <v>16</v>
      </c>
      <c r="E640" s="1" t="s">
        <v>26</v>
      </c>
      <c r="F640" s="1">
        <v>2126</v>
      </c>
      <c r="G640" s="1" t="str">
        <f t="shared" si="27"/>
        <v>Sufficient</v>
      </c>
      <c r="H640" s="1">
        <f t="shared" si="28"/>
        <v>227482</v>
      </c>
      <c r="I640" s="1">
        <f t="shared" si="29"/>
        <v>425.20000000000005</v>
      </c>
    </row>
    <row r="641" spans="1:9" x14ac:dyDescent="0.3">
      <c r="A641" s="1" t="s">
        <v>658</v>
      </c>
      <c r="B641" s="1" t="s">
        <v>29</v>
      </c>
      <c r="C641" s="1">
        <v>32</v>
      </c>
      <c r="D641" s="1">
        <v>18</v>
      </c>
      <c r="E641" s="1" t="s">
        <v>8</v>
      </c>
      <c r="F641" s="1">
        <v>71343</v>
      </c>
      <c r="G641" s="1" t="str">
        <f t="shared" si="27"/>
        <v>Sufficient</v>
      </c>
      <c r="H641" s="1">
        <f t="shared" si="28"/>
        <v>2282976</v>
      </c>
      <c r="I641" s="1">
        <f t="shared" si="29"/>
        <v>14268.6</v>
      </c>
    </row>
    <row r="642" spans="1:9" x14ac:dyDescent="0.3">
      <c r="A642" s="1" t="s">
        <v>659</v>
      </c>
      <c r="B642" s="1" t="s">
        <v>25</v>
      </c>
      <c r="C642" s="1">
        <v>124</v>
      </c>
      <c r="D642" s="1">
        <v>33</v>
      </c>
      <c r="E642" s="1" t="s">
        <v>26</v>
      </c>
      <c r="F642" s="1">
        <v>69165</v>
      </c>
      <c r="G642" s="1" t="str">
        <f t="shared" si="27"/>
        <v>Sufficient</v>
      </c>
      <c r="H642" s="1">
        <f t="shared" si="28"/>
        <v>8576460</v>
      </c>
      <c r="I642" s="1">
        <f t="shared" si="29"/>
        <v>13833</v>
      </c>
    </row>
    <row r="643" spans="1:9" x14ac:dyDescent="0.3">
      <c r="A643" s="1" t="s">
        <v>660</v>
      </c>
      <c r="B643" s="1" t="s">
        <v>25</v>
      </c>
      <c r="C643" s="1">
        <v>65</v>
      </c>
      <c r="D643" s="1">
        <v>22</v>
      </c>
      <c r="E643" s="1" t="s">
        <v>8</v>
      </c>
      <c r="F643" s="1">
        <v>64760</v>
      </c>
      <c r="G643" s="1" t="str">
        <f t="shared" ref="G643:G706" si="30">IF(C643=0,"Pending",IF(C643&lt;=D643,"Low Stock", "Sufficient"))</f>
        <v>Sufficient</v>
      </c>
      <c r="H643" s="1">
        <f t="shared" ref="H643:H706" si="31">C643*F643</f>
        <v>4209400</v>
      </c>
      <c r="I643" s="1">
        <f t="shared" ref="I643:I706" si="32">F643*0.2</f>
        <v>12952</v>
      </c>
    </row>
    <row r="644" spans="1:9" x14ac:dyDescent="0.3">
      <c r="A644" s="1" t="s">
        <v>661</v>
      </c>
      <c r="B644" s="1" t="s">
        <v>23</v>
      </c>
      <c r="C644" s="1">
        <v>174</v>
      </c>
      <c r="D644" s="1">
        <v>31</v>
      </c>
      <c r="E644" s="1" t="s">
        <v>16</v>
      </c>
      <c r="F644" s="1">
        <v>67822</v>
      </c>
      <c r="G644" s="1" t="str">
        <f t="shared" si="30"/>
        <v>Sufficient</v>
      </c>
      <c r="H644" s="1">
        <f t="shared" si="31"/>
        <v>11801028</v>
      </c>
      <c r="I644" s="1">
        <f t="shared" si="32"/>
        <v>13564.400000000001</v>
      </c>
    </row>
    <row r="645" spans="1:9" x14ac:dyDescent="0.3">
      <c r="A645" s="1" t="s">
        <v>662</v>
      </c>
      <c r="B645" s="1" t="s">
        <v>23</v>
      </c>
      <c r="C645" s="1">
        <v>93</v>
      </c>
      <c r="D645" s="1">
        <v>22</v>
      </c>
      <c r="E645" s="1" t="s">
        <v>26</v>
      </c>
      <c r="F645" s="1">
        <v>18544</v>
      </c>
      <c r="G645" s="1" t="str">
        <f t="shared" si="30"/>
        <v>Sufficient</v>
      </c>
      <c r="H645" s="1">
        <f t="shared" si="31"/>
        <v>1724592</v>
      </c>
      <c r="I645" s="1">
        <f t="shared" si="32"/>
        <v>3708.8</v>
      </c>
    </row>
    <row r="646" spans="1:9" x14ac:dyDescent="0.3">
      <c r="A646" s="1" t="s">
        <v>663</v>
      </c>
      <c r="B646" s="1" t="s">
        <v>15</v>
      </c>
      <c r="C646" s="1">
        <v>170</v>
      </c>
      <c r="D646" s="1">
        <v>26</v>
      </c>
      <c r="E646" s="1" t="s">
        <v>8</v>
      </c>
      <c r="F646" s="1">
        <v>37787</v>
      </c>
      <c r="G646" s="1" t="str">
        <f t="shared" si="30"/>
        <v>Sufficient</v>
      </c>
      <c r="H646" s="1">
        <f t="shared" si="31"/>
        <v>6423790</v>
      </c>
      <c r="I646" s="1">
        <f t="shared" si="32"/>
        <v>7557.4000000000005</v>
      </c>
    </row>
    <row r="647" spans="1:9" x14ac:dyDescent="0.3">
      <c r="A647" s="1" t="s">
        <v>664</v>
      </c>
      <c r="B647" s="1" t="s">
        <v>12</v>
      </c>
      <c r="C647" s="1">
        <v>106</v>
      </c>
      <c r="D647" s="1">
        <v>30</v>
      </c>
      <c r="E647" s="1" t="s">
        <v>16</v>
      </c>
      <c r="F647" s="1">
        <v>1687</v>
      </c>
      <c r="G647" s="1" t="str">
        <f t="shared" si="30"/>
        <v>Sufficient</v>
      </c>
      <c r="H647" s="1">
        <f t="shared" si="31"/>
        <v>178822</v>
      </c>
      <c r="I647" s="1">
        <f t="shared" si="32"/>
        <v>337.40000000000003</v>
      </c>
    </row>
    <row r="648" spans="1:9" x14ac:dyDescent="0.3">
      <c r="A648" s="1" t="s">
        <v>665</v>
      </c>
      <c r="B648" s="1" t="s">
        <v>23</v>
      </c>
      <c r="C648" s="1">
        <v>183</v>
      </c>
      <c r="D648" s="1">
        <v>30</v>
      </c>
      <c r="E648" s="1" t="s">
        <v>13</v>
      </c>
      <c r="F648" s="1">
        <v>10410</v>
      </c>
      <c r="G648" s="1" t="str">
        <f t="shared" si="30"/>
        <v>Sufficient</v>
      </c>
      <c r="H648" s="1">
        <f t="shared" si="31"/>
        <v>1905030</v>
      </c>
      <c r="I648" s="1">
        <f t="shared" si="32"/>
        <v>2082</v>
      </c>
    </row>
    <row r="649" spans="1:9" x14ac:dyDescent="0.3">
      <c r="A649" s="1" t="s">
        <v>666</v>
      </c>
      <c r="B649" s="1" t="s">
        <v>12</v>
      </c>
      <c r="C649" s="1">
        <v>161</v>
      </c>
      <c r="D649" s="1">
        <v>42</v>
      </c>
      <c r="E649" s="1" t="s">
        <v>8</v>
      </c>
      <c r="F649" s="1">
        <v>21430</v>
      </c>
      <c r="G649" s="1" t="str">
        <f t="shared" si="30"/>
        <v>Sufficient</v>
      </c>
      <c r="H649" s="1">
        <f t="shared" si="31"/>
        <v>3450230</v>
      </c>
      <c r="I649" s="1">
        <f t="shared" si="32"/>
        <v>4286</v>
      </c>
    </row>
    <row r="650" spans="1:9" x14ac:dyDescent="0.3">
      <c r="A650" s="1" t="s">
        <v>667</v>
      </c>
      <c r="B650" s="1" t="s">
        <v>23</v>
      </c>
      <c r="C650" s="1">
        <v>64</v>
      </c>
      <c r="D650" s="1">
        <v>30</v>
      </c>
      <c r="E650" s="1" t="s">
        <v>16</v>
      </c>
      <c r="F650" s="1">
        <v>56511</v>
      </c>
      <c r="G650" s="1" t="str">
        <f t="shared" si="30"/>
        <v>Sufficient</v>
      </c>
      <c r="H650" s="1">
        <f t="shared" si="31"/>
        <v>3616704</v>
      </c>
      <c r="I650" s="1">
        <f t="shared" si="32"/>
        <v>11302.2</v>
      </c>
    </row>
    <row r="651" spans="1:9" x14ac:dyDescent="0.3">
      <c r="A651" s="1" t="s">
        <v>668</v>
      </c>
      <c r="B651" s="1" t="s">
        <v>25</v>
      </c>
      <c r="C651" s="1">
        <v>134</v>
      </c>
      <c r="D651" s="1">
        <v>45</v>
      </c>
      <c r="E651" s="1" t="s">
        <v>8</v>
      </c>
      <c r="F651" s="1">
        <v>68413</v>
      </c>
      <c r="G651" s="1" t="str">
        <f t="shared" si="30"/>
        <v>Sufficient</v>
      </c>
      <c r="H651" s="1">
        <f t="shared" si="31"/>
        <v>9167342</v>
      </c>
      <c r="I651" s="1">
        <f t="shared" si="32"/>
        <v>13682.6</v>
      </c>
    </row>
    <row r="652" spans="1:9" x14ac:dyDescent="0.3">
      <c r="A652" s="1" t="s">
        <v>669</v>
      </c>
      <c r="B652" s="1" t="s">
        <v>25</v>
      </c>
      <c r="C652" s="1">
        <v>58</v>
      </c>
      <c r="D652" s="1">
        <v>20</v>
      </c>
      <c r="E652" s="1" t="s">
        <v>13</v>
      </c>
      <c r="F652" s="1">
        <v>59265</v>
      </c>
      <c r="G652" s="1" t="str">
        <f t="shared" si="30"/>
        <v>Sufficient</v>
      </c>
      <c r="H652" s="1">
        <f t="shared" si="31"/>
        <v>3437370</v>
      </c>
      <c r="I652" s="1">
        <f t="shared" si="32"/>
        <v>11853</v>
      </c>
    </row>
    <row r="653" spans="1:9" x14ac:dyDescent="0.3">
      <c r="A653" s="1" t="s">
        <v>670</v>
      </c>
      <c r="B653" s="1" t="s">
        <v>15</v>
      </c>
      <c r="C653" s="1">
        <v>10</v>
      </c>
      <c r="D653" s="1">
        <v>43</v>
      </c>
      <c r="E653" s="1" t="s">
        <v>8</v>
      </c>
      <c r="F653" s="1">
        <v>12420</v>
      </c>
      <c r="G653" s="1" t="str">
        <f t="shared" si="30"/>
        <v>Low Stock</v>
      </c>
      <c r="H653" s="1">
        <f t="shared" si="31"/>
        <v>124200</v>
      </c>
      <c r="I653" s="1">
        <f t="shared" si="32"/>
        <v>2484</v>
      </c>
    </row>
    <row r="654" spans="1:9" x14ac:dyDescent="0.3">
      <c r="A654" s="1" t="s">
        <v>671</v>
      </c>
      <c r="B654" s="1" t="s">
        <v>7</v>
      </c>
      <c r="C654" s="1">
        <v>56</v>
      </c>
      <c r="D654" s="1">
        <v>49</v>
      </c>
      <c r="E654" s="1" t="s">
        <v>26</v>
      </c>
      <c r="F654" s="1">
        <v>37633</v>
      </c>
      <c r="G654" s="1" t="str">
        <f t="shared" si="30"/>
        <v>Sufficient</v>
      </c>
      <c r="H654" s="1">
        <f t="shared" si="31"/>
        <v>2107448</v>
      </c>
      <c r="I654" s="1">
        <f t="shared" si="32"/>
        <v>7526.6</v>
      </c>
    </row>
    <row r="655" spans="1:9" x14ac:dyDescent="0.3">
      <c r="A655" s="1" t="s">
        <v>672</v>
      </c>
      <c r="B655" s="1" t="s">
        <v>29</v>
      </c>
      <c r="C655" s="1">
        <v>70</v>
      </c>
      <c r="D655" s="1">
        <v>10</v>
      </c>
      <c r="E655" s="1" t="s">
        <v>8</v>
      </c>
      <c r="F655" s="1">
        <v>57393</v>
      </c>
      <c r="G655" s="1" t="str">
        <f t="shared" si="30"/>
        <v>Sufficient</v>
      </c>
      <c r="H655" s="1">
        <f t="shared" si="31"/>
        <v>4017510</v>
      </c>
      <c r="I655" s="1">
        <f t="shared" si="32"/>
        <v>11478.6</v>
      </c>
    </row>
    <row r="656" spans="1:9" x14ac:dyDescent="0.3">
      <c r="A656" s="1" t="s">
        <v>673</v>
      </c>
      <c r="B656" s="1" t="s">
        <v>15</v>
      </c>
      <c r="C656" s="1">
        <v>94</v>
      </c>
      <c r="D656" s="1">
        <v>27</v>
      </c>
      <c r="E656" s="1" t="s">
        <v>13</v>
      </c>
      <c r="F656" s="1">
        <v>30191</v>
      </c>
      <c r="G656" s="1" t="str">
        <f t="shared" si="30"/>
        <v>Sufficient</v>
      </c>
      <c r="H656" s="1">
        <f t="shared" si="31"/>
        <v>2837954</v>
      </c>
      <c r="I656" s="1">
        <f t="shared" si="32"/>
        <v>6038.2000000000007</v>
      </c>
    </row>
    <row r="657" spans="1:9" x14ac:dyDescent="0.3">
      <c r="A657" s="1" t="s">
        <v>674</v>
      </c>
      <c r="B657" s="1" t="s">
        <v>18</v>
      </c>
      <c r="C657" s="1">
        <v>89</v>
      </c>
      <c r="D657" s="1">
        <v>14</v>
      </c>
      <c r="E657" s="1" t="s">
        <v>8</v>
      </c>
      <c r="F657" s="1">
        <v>32664</v>
      </c>
      <c r="G657" s="1" t="str">
        <f t="shared" si="30"/>
        <v>Sufficient</v>
      </c>
      <c r="H657" s="1">
        <f t="shared" si="31"/>
        <v>2907096</v>
      </c>
      <c r="I657" s="1">
        <f t="shared" si="32"/>
        <v>6532.8</v>
      </c>
    </row>
    <row r="658" spans="1:9" x14ac:dyDescent="0.3">
      <c r="A658" s="1" t="s">
        <v>675</v>
      </c>
      <c r="B658" s="1" t="s">
        <v>12</v>
      </c>
      <c r="C658" s="1">
        <v>78</v>
      </c>
      <c r="D658" s="1">
        <v>40</v>
      </c>
      <c r="E658" s="1" t="s">
        <v>26</v>
      </c>
      <c r="F658" s="1">
        <v>45712</v>
      </c>
      <c r="G658" s="1" t="str">
        <f t="shared" si="30"/>
        <v>Sufficient</v>
      </c>
      <c r="H658" s="1">
        <f t="shared" si="31"/>
        <v>3565536</v>
      </c>
      <c r="I658" s="1">
        <f t="shared" si="32"/>
        <v>9142.4</v>
      </c>
    </row>
    <row r="659" spans="1:9" x14ac:dyDescent="0.3">
      <c r="A659" s="1" t="s">
        <v>676</v>
      </c>
      <c r="B659" s="1" t="s">
        <v>23</v>
      </c>
      <c r="C659" s="1">
        <v>109</v>
      </c>
      <c r="D659" s="1">
        <v>29</v>
      </c>
      <c r="E659" s="1" t="s">
        <v>26</v>
      </c>
      <c r="F659" s="1">
        <v>5057</v>
      </c>
      <c r="G659" s="1" t="str">
        <f t="shared" si="30"/>
        <v>Sufficient</v>
      </c>
      <c r="H659" s="1">
        <f t="shared" si="31"/>
        <v>551213</v>
      </c>
      <c r="I659" s="1">
        <f t="shared" si="32"/>
        <v>1011.4000000000001</v>
      </c>
    </row>
    <row r="660" spans="1:9" x14ac:dyDescent="0.3">
      <c r="A660" s="1" t="s">
        <v>677</v>
      </c>
      <c r="B660" s="1" t="s">
        <v>18</v>
      </c>
      <c r="C660" s="1">
        <v>166</v>
      </c>
      <c r="D660" s="1">
        <v>28</v>
      </c>
      <c r="E660" s="1" t="s">
        <v>13</v>
      </c>
      <c r="F660" s="1">
        <v>78051</v>
      </c>
      <c r="G660" s="1" t="str">
        <f t="shared" si="30"/>
        <v>Sufficient</v>
      </c>
      <c r="H660" s="1">
        <f t="shared" si="31"/>
        <v>12956466</v>
      </c>
      <c r="I660" s="1">
        <f t="shared" si="32"/>
        <v>15610.2</v>
      </c>
    </row>
    <row r="661" spans="1:9" x14ac:dyDescent="0.3">
      <c r="A661" s="1" t="s">
        <v>678</v>
      </c>
      <c r="B661" s="1" t="s">
        <v>15</v>
      </c>
      <c r="C661" s="1">
        <v>17</v>
      </c>
      <c r="D661" s="1">
        <v>14</v>
      </c>
      <c r="E661" s="1" t="s">
        <v>10</v>
      </c>
      <c r="F661" s="1">
        <v>33747</v>
      </c>
      <c r="G661" s="1" t="str">
        <f t="shared" si="30"/>
        <v>Sufficient</v>
      </c>
      <c r="H661" s="1">
        <f t="shared" si="31"/>
        <v>573699</v>
      </c>
      <c r="I661" s="1">
        <f t="shared" si="32"/>
        <v>6749.4000000000005</v>
      </c>
    </row>
    <row r="662" spans="1:9" x14ac:dyDescent="0.3">
      <c r="A662" s="1" t="s">
        <v>679</v>
      </c>
      <c r="B662" s="1" t="s">
        <v>7</v>
      </c>
      <c r="C662" s="1">
        <v>56</v>
      </c>
      <c r="D662" s="1">
        <v>50</v>
      </c>
      <c r="E662" s="1" t="s">
        <v>26</v>
      </c>
      <c r="F662" s="1">
        <v>59790</v>
      </c>
      <c r="G662" s="1" t="str">
        <f t="shared" si="30"/>
        <v>Sufficient</v>
      </c>
      <c r="H662" s="1">
        <f t="shared" si="31"/>
        <v>3348240</v>
      </c>
      <c r="I662" s="1">
        <f t="shared" si="32"/>
        <v>11958</v>
      </c>
    </row>
    <row r="663" spans="1:9" x14ac:dyDescent="0.3">
      <c r="A663" s="1" t="s">
        <v>680</v>
      </c>
      <c r="B663" s="1" t="s">
        <v>12</v>
      </c>
      <c r="C663" s="1">
        <v>128</v>
      </c>
      <c r="D663" s="1">
        <v>24</v>
      </c>
      <c r="E663" s="1" t="s">
        <v>13</v>
      </c>
      <c r="F663" s="1">
        <v>51525</v>
      </c>
      <c r="G663" s="1" t="str">
        <f t="shared" si="30"/>
        <v>Sufficient</v>
      </c>
      <c r="H663" s="1">
        <f t="shared" si="31"/>
        <v>6595200</v>
      </c>
      <c r="I663" s="1">
        <f t="shared" si="32"/>
        <v>10305</v>
      </c>
    </row>
    <row r="664" spans="1:9" x14ac:dyDescent="0.3">
      <c r="A664" s="1" t="s">
        <v>681</v>
      </c>
      <c r="B664" s="1" t="s">
        <v>18</v>
      </c>
      <c r="C664" s="1">
        <v>12</v>
      </c>
      <c r="D664" s="1">
        <v>36</v>
      </c>
      <c r="E664" s="1" t="s">
        <v>16</v>
      </c>
      <c r="F664" s="1">
        <v>42636</v>
      </c>
      <c r="G664" s="1" t="str">
        <f t="shared" si="30"/>
        <v>Low Stock</v>
      </c>
      <c r="H664" s="1">
        <f t="shared" si="31"/>
        <v>511632</v>
      </c>
      <c r="I664" s="1">
        <f t="shared" si="32"/>
        <v>8527.2000000000007</v>
      </c>
    </row>
    <row r="665" spans="1:9" x14ac:dyDescent="0.3">
      <c r="A665" s="1" t="s">
        <v>682</v>
      </c>
      <c r="B665" s="1" t="s">
        <v>7</v>
      </c>
      <c r="C665" s="1">
        <v>61</v>
      </c>
      <c r="D665" s="1">
        <v>38</v>
      </c>
      <c r="E665" s="1" t="s">
        <v>8</v>
      </c>
      <c r="F665" s="1">
        <v>1633</v>
      </c>
      <c r="G665" s="1" t="str">
        <f t="shared" si="30"/>
        <v>Sufficient</v>
      </c>
      <c r="H665" s="1">
        <f t="shared" si="31"/>
        <v>99613</v>
      </c>
      <c r="I665" s="1">
        <f t="shared" si="32"/>
        <v>326.60000000000002</v>
      </c>
    </row>
    <row r="666" spans="1:9" x14ac:dyDescent="0.3">
      <c r="A666" s="1" t="s">
        <v>683</v>
      </c>
      <c r="B666" s="1" t="s">
        <v>12</v>
      </c>
      <c r="C666" s="1">
        <v>79</v>
      </c>
      <c r="D666" s="1">
        <v>17</v>
      </c>
      <c r="E666" s="1" t="s">
        <v>10</v>
      </c>
      <c r="F666" s="1">
        <v>20972</v>
      </c>
      <c r="G666" s="1" t="str">
        <f t="shared" si="30"/>
        <v>Sufficient</v>
      </c>
      <c r="H666" s="1">
        <f t="shared" si="31"/>
        <v>1656788</v>
      </c>
      <c r="I666" s="1">
        <f t="shared" si="32"/>
        <v>4194.4000000000005</v>
      </c>
    </row>
    <row r="667" spans="1:9" x14ac:dyDescent="0.3">
      <c r="A667" s="1" t="s">
        <v>684</v>
      </c>
      <c r="B667" s="1" t="s">
        <v>15</v>
      </c>
      <c r="C667" s="1">
        <v>191</v>
      </c>
      <c r="D667" s="1">
        <v>20</v>
      </c>
      <c r="E667" s="1" t="s">
        <v>13</v>
      </c>
      <c r="F667" s="1">
        <v>60905</v>
      </c>
      <c r="G667" s="1" t="str">
        <f t="shared" si="30"/>
        <v>Sufficient</v>
      </c>
      <c r="H667" s="1">
        <f t="shared" si="31"/>
        <v>11632855</v>
      </c>
      <c r="I667" s="1">
        <f t="shared" si="32"/>
        <v>12181</v>
      </c>
    </row>
    <row r="668" spans="1:9" x14ac:dyDescent="0.3">
      <c r="A668" s="1" t="s">
        <v>685</v>
      </c>
      <c r="B668" s="1" t="s">
        <v>23</v>
      </c>
      <c r="C668" s="1">
        <v>73</v>
      </c>
      <c r="D668" s="1">
        <v>47</v>
      </c>
      <c r="E668" s="1" t="s">
        <v>10</v>
      </c>
      <c r="F668" s="1">
        <v>58048</v>
      </c>
      <c r="G668" s="1" t="str">
        <f t="shared" si="30"/>
        <v>Sufficient</v>
      </c>
      <c r="H668" s="1">
        <f t="shared" si="31"/>
        <v>4237504</v>
      </c>
      <c r="I668" s="1">
        <f t="shared" si="32"/>
        <v>11609.6</v>
      </c>
    </row>
    <row r="669" spans="1:9" x14ac:dyDescent="0.3">
      <c r="A669" s="1" t="s">
        <v>686</v>
      </c>
      <c r="B669" s="1" t="s">
        <v>12</v>
      </c>
      <c r="C669" s="1">
        <v>110</v>
      </c>
      <c r="D669" s="1">
        <v>39</v>
      </c>
      <c r="E669" s="1" t="s">
        <v>26</v>
      </c>
      <c r="F669" s="1">
        <v>37376</v>
      </c>
      <c r="G669" s="1" t="str">
        <f t="shared" si="30"/>
        <v>Sufficient</v>
      </c>
      <c r="H669" s="1">
        <f t="shared" si="31"/>
        <v>4111360</v>
      </c>
      <c r="I669" s="1">
        <f t="shared" si="32"/>
        <v>7475.2000000000007</v>
      </c>
    </row>
    <row r="670" spans="1:9" x14ac:dyDescent="0.3">
      <c r="A670" s="1" t="s">
        <v>687</v>
      </c>
      <c r="B670" s="1" t="s">
        <v>25</v>
      </c>
      <c r="C670" s="1">
        <v>97</v>
      </c>
      <c r="D670" s="1">
        <v>44</v>
      </c>
      <c r="E670" s="1" t="s">
        <v>13</v>
      </c>
      <c r="F670" s="1">
        <v>56774</v>
      </c>
      <c r="G670" s="1" t="str">
        <f t="shared" si="30"/>
        <v>Sufficient</v>
      </c>
      <c r="H670" s="1">
        <f t="shared" si="31"/>
        <v>5507078</v>
      </c>
      <c r="I670" s="1">
        <f t="shared" si="32"/>
        <v>11354.800000000001</v>
      </c>
    </row>
    <row r="671" spans="1:9" x14ac:dyDescent="0.3">
      <c r="A671" s="1" t="s">
        <v>688</v>
      </c>
      <c r="B671" s="1" t="s">
        <v>29</v>
      </c>
      <c r="C671" s="1">
        <v>181</v>
      </c>
      <c r="D671" s="1">
        <v>26</v>
      </c>
      <c r="E671" s="1" t="s">
        <v>16</v>
      </c>
      <c r="F671" s="1">
        <v>42501</v>
      </c>
      <c r="G671" s="1" t="str">
        <f t="shared" si="30"/>
        <v>Sufficient</v>
      </c>
      <c r="H671" s="1">
        <f t="shared" si="31"/>
        <v>7692681</v>
      </c>
      <c r="I671" s="1">
        <f t="shared" si="32"/>
        <v>8500.2000000000007</v>
      </c>
    </row>
    <row r="672" spans="1:9" x14ac:dyDescent="0.3">
      <c r="A672" s="1" t="s">
        <v>689</v>
      </c>
      <c r="B672" s="1" t="s">
        <v>15</v>
      </c>
      <c r="C672" s="1">
        <v>197</v>
      </c>
      <c r="D672" s="1">
        <v>21</v>
      </c>
      <c r="E672" s="1" t="s">
        <v>8</v>
      </c>
      <c r="F672" s="1">
        <v>30820</v>
      </c>
      <c r="G672" s="1" t="str">
        <f t="shared" si="30"/>
        <v>Sufficient</v>
      </c>
      <c r="H672" s="1">
        <f t="shared" si="31"/>
        <v>6071540</v>
      </c>
      <c r="I672" s="1">
        <f t="shared" si="32"/>
        <v>6164</v>
      </c>
    </row>
    <row r="673" spans="1:9" x14ac:dyDescent="0.3">
      <c r="A673" s="1" t="s">
        <v>690</v>
      </c>
      <c r="B673" s="1" t="s">
        <v>25</v>
      </c>
      <c r="C673" s="1">
        <v>115</v>
      </c>
      <c r="D673" s="1">
        <v>48</v>
      </c>
      <c r="E673" s="1" t="s">
        <v>26</v>
      </c>
      <c r="F673" s="1">
        <v>1855</v>
      </c>
      <c r="G673" s="1" t="str">
        <f t="shared" si="30"/>
        <v>Sufficient</v>
      </c>
      <c r="H673" s="1">
        <f t="shared" si="31"/>
        <v>213325</v>
      </c>
      <c r="I673" s="1">
        <f t="shared" si="32"/>
        <v>371</v>
      </c>
    </row>
    <row r="674" spans="1:9" x14ac:dyDescent="0.3">
      <c r="A674" s="1" t="s">
        <v>691</v>
      </c>
      <c r="B674" s="1" t="s">
        <v>25</v>
      </c>
      <c r="C674" s="1">
        <v>42</v>
      </c>
      <c r="D674" s="1">
        <v>12</v>
      </c>
      <c r="E674" s="1" t="s">
        <v>16</v>
      </c>
      <c r="F674" s="1">
        <v>45532</v>
      </c>
      <c r="G674" s="1" t="str">
        <f t="shared" si="30"/>
        <v>Sufficient</v>
      </c>
      <c r="H674" s="1">
        <f t="shared" si="31"/>
        <v>1912344</v>
      </c>
      <c r="I674" s="1">
        <f t="shared" si="32"/>
        <v>9106.4</v>
      </c>
    </row>
    <row r="675" spans="1:9" x14ac:dyDescent="0.3">
      <c r="A675" s="1" t="s">
        <v>692</v>
      </c>
      <c r="B675" s="1" t="s">
        <v>7</v>
      </c>
      <c r="C675" s="1">
        <v>130</v>
      </c>
      <c r="D675" s="1">
        <v>12</v>
      </c>
      <c r="E675" s="1" t="s">
        <v>16</v>
      </c>
      <c r="F675" s="1">
        <v>24599</v>
      </c>
      <c r="G675" s="1" t="str">
        <f t="shared" si="30"/>
        <v>Sufficient</v>
      </c>
      <c r="H675" s="1">
        <f t="shared" si="31"/>
        <v>3197870</v>
      </c>
      <c r="I675" s="1">
        <f t="shared" si="32"/>
        <v>4919.8</v>
      </c>
    </row>
    <row r="676" spans="1:9" x14ac:dyDescent="0.3">
      <c r="A676" s="1" t="s">
        <v>693</v>
      </c>
      <c r="B676" s="1" t="s">
        <v>20</v>
      </c>
      <c r="C676" s="1">
        <v>76</v>
      </c>
      <c r="D676" s="1">
        <v>36</v>
      </c>
      <c r="E676" s="1" t="s">
        <v>8</v>
      </c>
      <c r="F676" s="1">
        <v>52899</v>
      </c>
      <c r="G676" s="1" t="str">
        <f t="shared" si="30"/>
        <v>Sufficient</v>
      </c>
      <c r="H676" s="1">
        <f t="shared" si="31"/>
        <v>4020324</v>
      </c>
      <c r="I676" s="1">
        <f t="shared" si="32"/>
        <v>10579.800000000001</v>
      </c>
    </row>
    <row r="677" spans="1:9" x14ac:dyDescent="0.3">
      <c r="A677" s="1" t="s">
        <v>694</v>
      </c>
      <c r="B677" s="1" t="s">
        <v>20</v>
      </c>
      <c r="C677" s="1">
        <v>144</v>
      </c>
      <c r="D677" s="1">
        <v>41</v>
      </c>
      <c r="E677" s="1" t="s">
        <v>26</v>
      </c>
      <c r="F677" s="1">
        <v>25017</v>
      </c>
      <c r="G677" s="1" t="str">
        <f t="shared" si="30"/>
        <v>Sufficient</v>
      </c>
      <c r="H677" s="1">
        <f t="shared" si="31"/>
        <v>3602448</v>
      </c>
      <c r="I677" s="1">
        <f t="shared" si="32"/>
        <v>5003.4000000000005</v>
      </c>
    </row>
    <row r="678" spans="1:9" x14ac:dyDescent="0.3">
      <c r="A678" s="1" t="s">
        <v>695</v>
      </c>
      <c r="B678" s="1" t="s">
        <v>18</v>
      </c>
      <c r="C678" s="1">
        <v>145</v>
      </c>
      <c r="D678" s="1">
        <v>13</v>
      </c>
      <c r="E678" s="1" t="s">
        <v>13</v>
      </c>
      <c r="F678" s="1">
        <v>35197</v>
      </c>
      <c r="G678" s="1" t="str">
        <f t="shared" si="30"/>
        <v>Sufficient</v>
      </c>
      <c r="H678" s="1">
        <f t="shared" si="31"/>
        <v>5103565</v>
      </c>
      <c r="I678" s="1">
        <f t="shared" si="32"/>
        <v>7039.4000000000005</v>
      </c>
    </row>
    <row r="679" spans="1:9" x14ac:dyDescent="0.3">
      <c r="A679" s="1" t="s">
        <v>696</v>
      </c>
      <c r="B679" s="1" t="s">
        <v>20</v>
      </c>
      <c r="C679" s="1">
        <v>142</v>
      </c>
      <c r="D679" s="1">
        <v>20</v>
      </c>
      <c r="E679" s="1" t="s">
        <v>8</v>
      </c>
      <c r="F679" s="1">
        <v>25095</v>
      </c>
      <c r="G679" s="1" t="str">
        <f t="shared" si="30"/>
        <v>Sufficient</v>
      </c>
      <c r="H679" s="1">
        <f t="shared" si="31"/>
        <v>3563490</v>
      </c>
      <c r="I679" s="1">
        <f t="shared" si="32"/>
        <v>5019</v>
      </c>
    </row>
    <row r="680" spans="1:9" x14ac:dyDescent="0.3">
      <c r="A680" s="1" t="s">
        <v>697</v>
      </c>
      <c r="B680" s="1" t="s">
        <v>25</v>
      </c>
      <c r="C680" s="1">
        <v>67</v>
      </c>
      <c r="D680" s="1">
        <v>34</v>
      </c>
      <c r="E680" s="1" t="s">
        <v>10</v>
      </c>
      <c r="F680" s="1">
        <v>54031</v>
      </c>
      <c r="G680" s="1" t="str">
        <f t="shared" si="30"/>
        <v>Sufficient</v>
      </c>
      <c r="H680" s="1">
        <f t="shared" si="31"/>
        <v>3620077</v>
      </c>
      <c r="I680" s="1">
        <f t="shared" si="32"/>
        <v>10806.2</v>
      </c>
    </row>
    <row r="681" spans="1:9" x14ac:dyDescent="0.3">
      <c r="A681" s="1" t="s">
        <v>698</v>
      </c>
      <c r="B681" s="1" t="s">
        <v>25</v>
      </c>
      <c r="C681" s="1">
        <v>25</v>
      </c>
      <c r="D681" s="1">
        <v>50</v>
      </c>
      <c r="E681" s="1" t="s">
        <v>10</v>
      </c>
      <c r="F681" s="1">
        <v>18144</v>
      </c>
      <c r="G681" s="1" t="str">
        <f t="shared" si="30"/>
        <v>Low Stock</v>
      </c>
      <c r="H681" s="1">
        <f t="shared" si="31"/>
        <v>453600</v>
      </c>
      <c r="I681" s="1">
        <f t="shared" si="32"/>
        <v>3628.8</v>
      </c>
    </row>
    <row r="682" spans="1:9" x14ac:dyDescent="0.3">
      <c r="A682" s="1" t="s">
        <v>699</v>
      </c>
      <c r="B682" s="1" t="s">
        <v>7</v>
      </c>
      <c r="C682" s="1">
        <v>58</v>
      </c>
      <c r="D682" s="1">
        <v>34</v>
      </c>
      <c r="E682" s="1" t="s">
        <v>26</v>
      </c>
      <c r="F682" s="1">
        <v>58152</v>
      </c>
      <c r="G682" s="1" t="str">
        <f t="shared" si="30"/>
        <v>Sufficient</v>
      </c>
      <c r="H682" s="1">
        <f t="shared" si="31"/>
        <v>3372816</v>
      </c>
      <c r="I682" s="1">
        <f t="shared" si="32"/>
        <v>11630.400000000001</v>
      </c>
    </row>
    <row r="683" spans="1:9" x14ac:dyDescent="0.3">
      <c r="A683" s="1" t="s">
        <v>700</v>
      </c>
      <c r="B683" s="1" t="s">
        <v>25</v>
      </c>
      <c r="C683" s="1">
        <v>65</v>
      </c>
      <c r="D683" s="1">
        <v>33</v>
      </c>
      <c r="E683" s="1" t="s">
        <v>8</v>
      </c>
      <c r="F683" s="1">
        <v>45558</v>
      </c>
      <c r="G683" s="1" t="str">
        <f t="shared" si="30"/>
        <v>Sufficient</v>
      </c>
      <c r="H683" s="1">
        <f t="shared" si="31"/>
        <v>2961270</v>
      </c>
      <c r="I683" s="1">
        <f t="shared" si="32"/>
        <v>9111.6</v>
      </c>
    </row>
    <row r="684" spans="1:9" x14ac:dyDescent="0.3">
      <c r="A684" s="1" t="s">
        <v>701</v>
      </c>
      <c r="B684" s="1" t="s">
        <v>15</v>
      </c>
      <c r="C684" s="1">
        <v>63</v>
      </c>
      <c r="D684" s="1">
        <v>45</v>
      </c>
      <c r="E684" s="1" t="s">
        <v>8</v>
      </c>
      <c r="F684" s="1">
        <v>8540</v>
      </c>
      <c r="G684" s="1" t="str">
        <f t="shared" si="30"/>
        <v>Sufficient</v>
      </c>
      <c r="H684" s="1">
        <f t="shared" si="31"/>
        <v>538020</v>
      </c>
      <c r="I684" s="1">
        <f t="shared" si="32"/>
        <v>1708</v>
      </c>
    </row>
    <row r="685" spans="1:9" x14ac:dyDescent="0.3">
      <c r="A685" s="1" t="s">
        <v>702</v>
      </c>
      <c r="B685" s="1" t="s">
        <v>7</v>
      </c>
      <c r="C685" s="1">
        <v>5</v>
      </c>
      <c r="D685" s="1">
        <v>30</v>
      </c>
      <c r="E685" s="1" t="s">
        <v>8</v>
      </c>
      <c r="F685" s="1">
        <v>19817</v>
      </c>
      <c r="G685" s="1" t="str">
        <f t="shared" si="30"/>
        <v>Low Stock</v>
      </c>
      <c r="H685" s="1">
        <f t="shared" si="31"/>
        <v>99085</v>
      </c>
      <c r="I685" s="1">
        <f t="shared" si="32"/>
        <v>3963.4</v>
      </c>
    </row>
    <row r="686" spans="1:9" x14ac:dyDescent="0.3">
      <c r="A686" s="1" t="s">
        <v>703</v>
      </c>
      <c r="B686" s="1" t="s">
        <v>20</v>
      </c>
      <c r="C686" s="1">
        <v>7</v>
      </c>
      <c r="D686" s="1">
        <v>46</v>
      </c>
      <c r="E686" s="1" t="s">
        <v>13</v>
      </c>
      <c r="F686" s="1">
        <v>58429</v>
      </c>
      <c r="G686" s="1" t="str">
        <f t="shared" si="30"/>
        <v>Low Stock</v>
      </c>
      <c r="H686" s="1">
        <f t="shared" si="31"/>
        <v>409003</v>
      </c>
      <c r="I686" s="1">
        <f t="shared" si="32"/>
        <v>11685.800000000001</v>
      </c>
    </row>
    <row r="687" spans="1:9" x14ac:dyDescent="0.3">
      <c r="A687" s="1" t="s">
        <v>704</v>
      </c>
      <c r="B687" s="1" t="s">
        <v>18</v>
      </c>
      <c r="C687" s="1">
        <v>127</v>
      </c>
      <c r="D687" s="1">
        <v>50</v>
      </c>
      <c r="E687" s="1" t="s">
        <v>8</v>
      </c>
      <c r="F687" s="1">
        <v>66435</v>
      </c>
      <c r="G687" s="1" t="str">
        <f t="shared" si="30"/>
        <v>Sufficient</v>
      </c>
      <c r="H687" s="1">
        <f t="shared" si="31"/>
        <v>8437245</v>
      </c>
      <c r="I687" s="1">
        <f t="shared" si="32"/>
        <v>13287</v>
      </c>
    </row>
    <row r="688" spans="1:9" x14ac:dyDescent="0.3">
      <c r="A688" s="1" t="s">
        <v>705</v>
      </c>
      <c r="B688" s="1" t="s">
        <v>20</v>
      </c>
      <c r="C688" s="1">
        <v>162</v>
      </c>
      <c r="D688" s="1">
        <v>10</v>
      </c>
      <c r="E688" s="1" t="s">
        <v>8</v>
      </c>
      <c r="F688" s="1">
        <v>49182</v>
      </c>
      <c r="G688" s="1" t="str">
        <f t="shared" si="30"/>
        <v>Sufficient</v>
      </c>
      <c r="H688" s="1">
        <f t="shared" si="31"/>
        <v>7967484</v>
      </c>
      <c r="I688" s="1">
        <f t="shared" si="32"/>
        <v>9836.4000000000015</v>
      </c>
    </row>
    <row r="689" spans="1:9" x14ac:dyDescent="0.3">
      <c r="A689" s="1" t="s">
        <v>706</v>
      </c>
      <c r="B689" s="1" t="s">
        <v>18</v>
      </c>
      <c r="C689" s="1">
        <v>60</v>
      </c>
      <c r="D689" s="1">
        <v>12</v>
      </c>
      <c r="E689" s="1" t="s">
        <v>10</v>
      </c>
      <c r="F689" s="1">
        <v>29029</v>
      </c>
      <c r="G689" s="1" t="str">
        <f t="shared" si="30"/>
        <v>Sufficient</v>
      </c>
      <c r="H689" s="1">
        <f t="shared" si="31"/>
        <v>1741740</v>
      </c>
      <c r="I689" s="1">
        <f t="shared" si="32"/>
        <v>5805.8</v>
      </c>
    </row>
    <row r="690" spans="1:9" x14ac:dyDescent="0.3">
      <c r="A690" s="1" t="s">
        <v>707</v>
      </c>
      <c r="B690" s="1" t="s">
        <v>12</v>
      </c>
      <c r="C690" s="1">
        <v>145</v>
      </c>
      <c r="D690" s="1">
        <v>43</v>
      </c>
      <c r="E690" s="1" t="s">
        <v>16</v>
      </c>
      <c r="F690" s="1">
        <v>48417</v>
      </c>
      <c r="G690" s="1" t="str">
        <f t="shared" si="30"/>
        <v>Sufficient</v>
      </c>
      <c r="H690" s="1">
        <f t="shared" si="31"/>
        <v>7020465</v>
      </c>
      <c r="I690" s="1">
        <f t="shared" si="32"/>
        <v>9683.4</v>
      </c>
    </row>
    <row r="691" spans="1:9" x14ac:dyDescent="0.3">
      <c r="A691" s="1" t="s">
        <v>708</v>
      </c>
      <c r="B691" s="1" t="s">
        <v>29</v>
      </c>
      <c r="C691" s="1">
        <v>194</v>
      </c>
      <c r="D691" s="1">
        <v>22</v>
      </c>
      <c r="E691" s="1" t="s">
        <v>10</v>
      </c>
      <c r="F691" s="1">
        <v>20576</v>
      </c>
      <c r="G691" s="1" t="str">
        <f t="shared" si="30"/>
        <v>Sufficient</v>
      </c>
      <c r="H691" s="1">
        <f t="shared" si="31"/>
        <v>3991744</v>
      </c>
      <c r="I691" s="1">
        <f t="shared" si="32"/>
        <v>4115.2</v>
      </c>
    </row>
    <row r="692" spans="1:9" x14ac:dyDescent="0.3">
      <c r="A692" s="1" t="s">
        <v>709</v>
      </c>
      <c r="B692" s="1" t="s">
        <v>23</v>
      </c>
      <c r="C692" s="1">
        <v>131</v>
      </c>
      <c r="D692" s="1">
        <v>44</v>
      </c>
      <c r="E692" s="1" t="s">
        <v>8</v>
      </c>
      <c r="F692" s="1">
        <v>38102</v>
      </c>
      <c r="G692" s="1" t="str">
        <f t="shared" si="30"/>
        <v>Sufficient</v>
      </c>
      <c r="H692" s="1">
        <f t="shared" si="31"/>
        <v>4991362</v>
      </c>
      <c r="I692" s="1">
        <f t="shared" si="32"/>
        <v>7620.4000000000005</v>
      </c>
    </row>
    <row r="693" spans="1:9" x14ac:dyDescent="0.3">
      <c r="A693" s="1" t="s">
        <v>710</v>
      </c>
      <c r="B693" s="1" t="s">
        <v>29</v>
      </c>
      <c r="C693" s="1">
        <v>143</v>
      </c>
      <c r="D693" s="1">
        <v>21</v>
      </c>
      <c r="E693" s="1" t="s">
        <v>26</v>
      </c>
      <c r="F693" s="1">
        <v>7007</v>
      </c>
      <c r="G693" s="1" t="str">
        <f t="shared" si="30"/>
        <v>Sufficient</v>
      </c>
      <c r="H693" s="1">
        <f t="shared" si="31"/>
        <v>1002001</v>
      </c>
      <c r="I693" s="1">
        <f t="shared" si="32"/>
        <v>1401.4</v>
      </c>
    </row>
    <row r="694" spans="1:9" x14ac:dyDescent="0.3">
      <c r="A694" s="1" t="s">
        <v>711</v>
      </c>
      <c r="B694" s="1" t="s">
        <v>29</v>
      </c>
      <c r="C694" s="1">
        <v>144</v>
      </c>
      <c r="D694" s="1">
        <v>48</v>
      </c>
      <c r="E694" s="1" t="s">
        <v>8</v>
      </c>
      <c r="F694" s="1">
        <v>56605</v>
      </c>
      <c r="G694" s="1" t="str">
        <f t="shared" si="30"/>
        <v>Sufficient</v>
      </c>
      <c r="H694" s="1">
        <f t="shared" si="31"/>
        <v>8151120</v>
      </c>
      <c r="I694" s="1">
        <f t="shared" si="32"/>
        <v>11321</v>
      </c>
    </row>
    <row r="695" spans="1:9" x14ac:dyDescent="0.3">
      <c r="A695" s="1" t="s">
        <v>712</v>
      </c>
      <c r="B695" s="1" t="s">
        <v>23</v>
      </c>
      <c r="C695" s="1">
        <v>89</v>
      </c>
      <c r="D695" s="1">
        <v>41</v>
      </c>
      <c r="E695" s="1" t="s">
        <v>10</v>
      </c>
      <c r="F695" s="1">
        <v>72071</v>
      </c>
      <c r="G695" s="1" t="str">
        <f t="shared" si="30"/>
        <v>Sufficient</v>
      </c>
      <c r="H695" s="1">
        <f t="shared" si="31"/>
        <v>6414319</v>
      </c>
      <c r="I695" s="1">
        <f t="shared" si="32"/>
        <v>14414.2</v>
      </c>
    </row>
    <row r="696" spans="1:9" x14ac:dyDescent="0.3">
      <c r="A696" s="1" t="s">
        <v>713</v>
      </c>
      <c r="B696" s="1" t="s">
        <v>29</v>
      </c>
      <c r="C696" s="1">
        <v>72</v>
      </c>
      <c r="D696" s="1">
        <v>23</v>
      </c>
      <c r="E696" s="1" t="s">
        <v>8</v>
      </c>
      <c r="F696" s="1">
        <v>75070</v>
      </c>
      <c r="G696" s="1" t="str">
        <f t="shared" si="30"/>
        <v>Sufficient</v>
      </c>
      <c r="H696" s="1">
        <f t="shared" si="31"/>
        <v>5405040</v>
      </c>
      <c r="I696" s="1">
        <f t="shared" si="32"/>
        <v>15014</v>
      </c>
    </row>
    <row r="697" spans="1:9" x14ac:dyDescent="0.3">
      <c r="A697" s="1" t="s">
        <v>714</v>
      </c>
      <c r="B697" s="1" t="s">
        <v>20</v>
      </c>
      <c r="C697" s="1">
        <v>196</v>
      </c>
      <c r="D697" s="1">
        <v>50</v>
      </c>
      <c r="E697" s="1" t="s">
        <v>26</v>
      </c>
      <c r="F697" s="1">
        <v>38014</v>
      </c>
      <c r="G697" s="1" t="str">
        <f t="shared" si="30"/>
        <v>Sufficient</v>
      </c>
      <c r="H697" s="1">
        <f t="shared" si="31"/>
        <v>7450744</v>
      </c>
      <c r="I697" s="1">
        <f t="shared" si="32"/>
        <v>7602.8</v>
      </c>
    </row>
    <row r="698" spans="1:9" x14ac:dyDescent="0.3">
      <c r="A698" s="1" t="s">
        <v>715</v>
      </c>
      <c r="B698" s="1" t="s">
        <v>18</v>
      </c>
      <c r="C698" s="1">
        <v>23</v>
      </c>
      <c r="D698" s="1">
        <v>45</v>
      </c>
      <c r="E698" s="1" t="s">
        <v>16</v>
      </c>
      <c r="F698" s="1">
        <v>69201</v>
      </c>
      <c r="G698" s="1" t="str">
        <f t="shared" si="30"/>
        <v>Low Stock</v>
      </c>
      <c r="H698" s="1">
        <f t="shared" si="31"/>
        <v>1591623</v>
      </c>
      <c r="I698" s="1">
        <f t="shared" si="32"/>
        <v>13840.2</v>
      </c>
    </row>
    <row r="699" spans="1:9" x14ac:dyDescent="0.3">
      <c r="A699" s="1" t="s">
        <v>716</v>
      </c>
      <c r="B699" s="1" t="s">
        <v>15</v>
      </c>
      <c r="C699" s="1">
        <v>93</v>
      </c>
      <c r="D699" s="1">
        <v>31</v>
      </c>
      <c r="E699" s="1" t="s">
        <v>8</v>
      </c>
      <c r="F699" s="1">
        <v>24574</v>
      </c>
      <c r="G699" s="1" t="str">
        <f t="shared" si="30"/>
        <v>Sufficient</v>
      </c>
      <c r="H699" s="1">
        <f t="shared" si="31"/>
        <v>2285382</v>
      </c>
      <c r="I699" s="1">
        <f t="shared" si="32"/>
        <v>4914.8</v>
      </c>
    </row>
    <row r="700" spans="1:9" x14ac:dyDescent="0.3">
      <c r="A700" s="1" t="s">
        <v>717</v>
      </c>
      <c r="B700" s="1" t="s">
        <v>7</v>
      </c>
      <c r="C700" s="1">
        <v>110</v>
      </c>
      <c r="D700" s="1">
        <v>20</v>
      </c>
      <c r="E700" s="1" t="s">
        <v>26</v>
      </c>
      <c r="F700" s="1">
        <v>32724</v>
      </c>
      <c r="G700" s="1" t="str">
        <f t="shared" si="30"/>
        <v>Sufficient</v>
      </c>
      <c r="H700" s="1">
        <f t="shared" si="31"/>
        <v>3599640</v>
      </c>
      <c r="I700" s="1">
        <f t="shared" si="32"/>
        <v>6544.8</v>
      </c>
    </row>
    <row r="701" spans="1:9" x14ac:dyDescent="0.3">
      <c r="A701" s="1" t="s">
        <v>718</v>
      </c>
      <c r="B701" s="1" t="s">
        <v>29</v>
      </c>
      <c r="C701" s="1">
        <v>190</v>
      </c>
      <c r="D701" s="1">
        <v>17</v>
      </c>
      <c r="E701" s="1" t="s">
        <v>13</v>
      </c>
      <c r="F701" s="1">
        <v>3645</v>
      </c>
      <c r="G701" s="1" t="str">
        <f t="shared" si="30"/>
        <v>Sufficient</v>
      </c>
      <c r="H701" s="1">
        <f t="shared" si="31"/>
        <v>692550</v>
      </c>
      <c r="I701" s="1">
        <f t="shared" si="32"/>
        <v>729</v>
      </c>
    </row>
    <row r="702" spans="1:9" x14ac:dyDescent="0.3">
      <c r="A702" s="1" t="s">
        <v>719</v>
      </c>
      <c r="B702" s="1" t="s">
        <v>20</v>
      </c>
      <c r="C702" s="1">
        <v>24</v>
      </c>
      <c r="D702" s="1">
        <v>23</v>
      </c>
      <c r="E702" s="1" t="s">
        <v>8</v>
      </c>
      <c r="F702" s="1">
        <v>79541</v>
      </c>
      <c r="G702" s="1" t="str">
        <f t="shared" si="30"/>
        <v>Sufficient</v>
      </c>
      <c r="H702" s="1">
        <f t="shared" si="31"/>
        <v>1908984</v>
      </c>
      <c r="I702" s="1">
        <f t="shared" si="32"/>
        <v>15908.2</v>
      </c>
    </row>
    <row r="703" spans="1:9" x14ac:dyDescent="0.3">
      <c r="A703" s="1" t="s">
        <v>720</v>
      </c>
      <c r="B703" s="1" t="s">
        <v>15</v>
      </c>
      <c r="C703" s="1">
        <v>151</v>
      </c>
      <c r="D703" s="1">
        <v>24</v>
      </c>
      <c r="E703" s="1" t="s">
        <v>13</v>
      </c>
      <c r="F703" s="1">
        <v>6033</v>
      </c>
      <c r="G703" s="1" t="str">
        <f t="shared" si="30"/>
        <v>Sufficient</v>
      </c>
      <c r="H703" s="1">
        <f t="shared" si="31"/>
        <v>910983</v>
      </c>
      <c r="I703" s="1">
        <f t="shared" si="32"/>
        <v>1206.6000000000001</v>
      </c>
    </row>
    <row r="704" spans="1:9" x14ac:dyDescent="0.3">
      <c r="A704" s="1" t="s">
        <v>721</v>
      </c>
      <c r="B704" s="1" t="s">
        <v>18</v>
      </c>
      <c r="C704" s="1">
        <v>163</v>
      </c>
      <c r="D704" s="1">
        <v>26</v>
      </c>
      <c r="E704" s="1" t="s">
        <v>10</v>
      </c>
      <c r="F704" s="1">
        <v>66593</v>
      </c>
      <c r="G704" s="1" t="str">
        <f t="shared" si="30"/>
        <v>Sufficient</v>
      </c>
      <c r="H704" s="1">
        <f t="shared" si="31"/>
        <v>10854659</v>
      </c>
      <c r="I704" s="1">
        <f t="shared" si="32"/>
        <v>13318.6</v>
      </c>
    </row>
    <row r="705" spans="1:9" x14ac:dyDescent="0.3">
      <c r="A705" s="1" t="s">
        <v>722</v>
      </c>
      <c r="B705" s="1" t="s">
        <v>29</v>
      </c>
      <c r="C705" s="1">
        <v>75</v>
      </c>
      <c r="D705" s="1">
        <v>31</v>
      </c>
      <c r="E705" s="1" t="s">
        <v>13</v>
      </c>
      <c r="F705" s="1">
        <v>62231</v>
      </c>
      <c r="G705" s="1" t="str">
        <f t="shared" si="30"/>
        <v>Sufficient</v>
      </c>
      <c r="H705" s="1">
        <f t="shared" si="31"/>
        <v>4667325</v>
      </c>
      <c r="I705" s="1">
        <f t="shared" si="32"/>
        <v>12446.2</v>
      </c>
    </row>
    <row r="706" spans="1:9" x14ac:dyDescent="0.3">
      <c r="A706" s="1" t="s">
        <v>723</v>
      </c>
      <c r="B706" s="1" t="s">
        <v>7</v>
      </c>
      <c r="C706" s="1">
        <v>92</v>
      </c>
      <c r="D706" s="1">
        <v>16</v>
      </c>
      <c r="E706" s="1" t="s">
        <v>10</v>
      </c>
      <c r="F706" s="1">
        <v>15045</v>
      </c>
      <c r="G706" s="1" t="str">
        <f t="shared" si="30"/>
        <v>Sufficient</v>
      </c>
      <c r="H706" s="1">
        <f t="shared" si="31"/>
        <v>1384140</v>
      </c>
      <c r="I706" s="1">
        <f t="shared" si="32"/>
        <v>3009</v>
      </c>
    </row>
    <row r="707" spans="1:9" x14ac:dyDescent="0.3">
      <c r="A707" s="1" t="s">
        <v>724</v>
      </c>
      <c r="B707" s="1" t="s">
        <v>15</v>
      </c>
      <c r="C707" s="1">
        <v>157</v>
      </c>
      <c r="D707" s="1">
        <v>31</v>
      </c>
      <c r="E707" s="1" t="s">
        <v>26</v>
      </c>
      <c r="F707" s="1">
        <v>24940</v>
      </c>
      <c r="G707" s="1" t="str">
        <f t="shared" ref="G707:G770" si="33">IF(C707=0,"Pending",IF(C707&lt;=D707,"Low Stock", "Sufficient"))</f>
        <v>Sufficient</v>
      </c>
      <c r="H707" s="1">
        <f t="shared" ref="H707:H770" si="34">C707*F707</f>
        <v>3915580</v>
      </c>
      <c r="I707" s="1">
        <f t="shared" ref="I707:I770" si="35">F707*0.2</f>
        <v>4988</v>
      </c>
    </row>
    <row r="708" spans="1:9" x14ac:dyDescent="0.3">
      <c r="A708" s="1" t="s">
        <v>725</v>
      </c>
      <c r="B708" s="1" t="s">
        <v>23</v>
      </c>
      <c r="C708" s="1">
        <v>20</v>
      </c>
      <c r="D708" s="1">
        <v>30</v>
      </c>
      <c r="E708" s="1" t="s">
        <v>8</v>
      </c>
      <c r="F708" s="1">
        <v>12048</v>
      </c>
      <c r="G708" s="1" t="str">
        <f t="shared" si="33"/>
        <v>Low Stock</v>
      </c>
      <c r="H708" s="1">
        <f t="shared" si="34"/>
        <v>240960</v>
      </c>
      <c r="I708" s="1">
        <f t="shared" si="35"/>
        <v>2409.6</v>
      </c>
    </row>
    <row r="709" spans="1:9" x14ac:dyDescent="0.3">
      <c r="A709" s="1" t="s">
        <v>726</v>
      </c>
      <c r="B709" s="1" t="s">
        <v>18</v>
      </c>
      <c r="C709" s="1">
        <v>68</v>
      </c>
      <c r="D709" s="1">
        <v>10</v>
      </c>
      <c r="E709" s="1" t="s">
        <v>13</v>
      </c>
      <c r="F709" s="1">
        <v>22539</v>
      </c>
      <c r="G709" s="1" t="str">
        <f t="shared" si="33"/>
        <v>Sufficient</v>
      </c>
      <c r="H709" s="1">
        <f t="shared" si="34"/>
        <v>1532652</v>
      </c>
      <c r="I709" s="1">
        <f t="shared" si="35"/>
        <v>4507.8</v>
      </c>
    </row>
    <row r="710" spans="1:9" x14ac:dyDescent="0.3">
      <c r="A710" s="1" t="s">
        <v>727</v>
      </c>
      <c r="B710" s="1" t="s">
        <v>23</v>
      </c>
      <c r="C710" s="1">
        <v>24</v>
      </c>
      <c r="D710" s="1">
        <v>40</v>
      </c>
      <c r="E710" s="1" t="s">
        <v>16</v>
      </c>
      <c r="F710" s="1">
        <v>16227</v>
      </c>
      <c r="G710" s="1" t="str">
        <f t="shared" si="33"/>
        <v>Low Stock</v>
      </c>
      <c r="H710" s="1">
        <f t="shared" si="34"/>
        <v>389448</v>
      </c>
      <c r="I710" s="1">
        <f t="shared" si="35"/>
        <v>3245.4</v>
      </c>
    </row>
    <row r="711" spans="1:9" x14ac:dyDescent="0.3">
      <c r="A711" s="1" t="s">
        <v>728</v>
      </c>
      <c r="B711" s="1" t="s">
        <v>12</v>
      </c>
      <c r="C711" s="1">
        <v>200</v>
      </c>
      <c r="D711" s="1">
        <v>16</v>
      </c>
      <c r="E711" s="1" t="s">
        <v>8</v>
      </c>
      <c r="F711" s="1">
        <v>40264</v>
      </c>
      <c r="G711" s="1" t="str">
        <f t="shared" si="33"/>
        <v>Sufficient</v>
      </c>
      <c r="H711" s="1">
        <f t="shared" si="34"/>
        <v>8052800</v>
      </c>
      <c r="I711" s="1">
        <f t="shared" si="35"/>
        <v>8052.8</v>
      </c>
    </row>
    <row r="712" spans="1:9" x14ac:dyDescent="0.3">
      <c r="A712" s="1" t="s">
        <v>729</v>
      </c>
      <c r="B712" s="1" t="s">
        <v>18</v>
      </c>
      <c r="C712" s="1">
        <v>30</v>
      </c>
      <c r="D712" s="1">
        <v>40</v>
      </c>
      <c r="E712" s="1" t="s">
        <v>26</v>
      </c>
      <c r="F712" s="1">
        <v>62322</v>
      </c>
      <c r="G712" s="1" t="str">
        <f t="shared" si="33"/>
        <v>Low Stock</v>
      </c>
      <c r="H712" s="1">
        <f t="shared" si="34"/>
        <v>1869660</v>
      </c>
      <c r="I712" s="1">
        <f t="shared" si="35"/>
        <v>12464.400000000001</v>
      </c>
    </row>
    <row r="713" spans="1:9" x14ac:dyDescent="0.3">
      <c r="A713" s="1" t="s">
        <v>730</v>
      </c>
      <c r="B713" s="1" t="s">
        <v>29</v>
      </c>
      <c r="C713" s="1">
        <v>160</v>
      </c>
      <c r="D713" s="1">
        <v>33</v>
      </c>
      <c r="E713" s="1" t="s">
        <v>13</v>
      </c>
      <c r="F713" s="1">
        <v>11309</v>
      </c>
      <c r="G713" s="1" t="str">
        <f t="shared" si="33"/>
        <v>Sufficient</v>
      </c>
      <c r="H713" s="1">
        <f t="shared" si="34"/>
        <v>1809440</v>
      </c>
      <c r="I713" s="1">
        <f t="shared" si="35"/>
        <v>2261.8000000000002</v>
      </c>
    </row>
    <row r="714" spans="1:9" x14ac:dyDescent="0.3">
      <c r="A714" s="1" t="s">
        <v>731</v>
      </c>
      <c r="B714" s="1" t="s">
        <v>15</v>
      </c>
      <c r="C714" s="1">
        <v>82</v>
      </c>
      <c r="D714" s="1">
        <v>50</v>
      </c>
      <c r="E714" s="1" t="s">
        <v>10</v>
      </c>
      <c r="F714" s="1">
        <v>54043</v>
      </c>
      <c r="G714" s="1" t="str">
        <f t="shared" si="33"/>
        <v>Sufficient</v>
      </c>
      <c r="H714" s="1">
        <f t="shared" si="34"/>
        <v>4431526</v>
      </c>
      <c r="I714" s="1">
        <f t="shared" si="35"/>
        <v>10808.6</v>
      </c>
    </row>
    <row r="715" spans="1:9" x14ac:dyDescent="0.3">
      <c r="A715" s="1" t="s">
        <v>732</v>
      </c>
      <c r="B715" s="1" t="s">
        <v>25</v>
      </c>
      <c r="C715" s="1">
        <v>132</v>
      </c>
      <c r="D715" s="1">
        <v>37</v>
      </c>
      <c r="E715" s="1" t="s">
        <v>16</v>
      </c>
      <c r="F715" s="1">
        <v>27409</v>
      </c>
      <c r="G715" s="1" t="str">
        <f t="shared" si="33"/>
        <v>Sufficient</v>
      </c>
      <c r="H715" s="1">
        <f t="shared" si="34"/>
        <v>3617988</v>
      </c>
      <c r="I715" s="1">
        <f t="shared" si="35"/>
        <v>5481.8</v>
      </c>
    </row>
    <row r="716" spans="1:9" x14ac:dyDescent="0.3">
      <c r="A716" s="1" t="s">
        <v>733</v>
      </c>
      <c r="B716" s="1" t="s">
        <v>7</v>
      </c>
      <c r="C716" s="1">
        <v>55</v>
      </c>
      <c r="D716" s="1">
        <v>31</v>
      </c>
      <c r="E716" s="1" t="s">
        <v>13</v>
      </c>
      <c r="F716" s="1">
        <v>11149</v>
      </c>
      <c r="G716" s="1" t="str">
        <f t="shared" si="33"/>
        <v>Sufficient</v>
      </c>
      <c r="H716" s="1">
        <f t="shared" si="34"/>
        <v>613195</v>
      </c>
      <c r="I716" s="1">
        <f t="shared" si="35"/>
        <v>2229.8000000000002</v>
      </c>
    </row>
    <row r="717" spans="1:9" x14ac:dyDescent="0.3">
      <c r="A717" s="1" t="s">
        <v>734</v>
      </c>
      <c r="B717" s="1" t="s">
        <v>7</v>
      </c>
      <c r="C717" s="1">
        <v>10</v>
      </c>
      <c r="D717" s="1">
        <v>38</v>
      </c>
      <c r="E717" s="1" t="s">
        <v>13</v>
      </c>
      <c r="F717" s="1">
        <v>55287</v>
      </c>
      <c r="G717" s="1" t="str">
        <f t="shared" si="33"/>
        <v>Low Stock</v>
      </c>
      <c r="H717" s="1">
        <f t="shared" si="34"/>
        <v>552870</v>
      </c>
      <c r="I717" s="1">
        <f t="shared" si="35"/>
        <v>11057.400000000001</v>
      </c>
    </row>
    <row r="718" spans="1:9" x14ac:dyDescent="0.3">
      <c r="A718" s="1" t="s">
        <v>735</v>
      </c>
      <c r="B718" s="1" t="s">
        <v>20</v>
      </c>
      <c r="C718" s="1">
        <v>182</v>
      </c>
      <c r="D718" s="1">
        <v>40</v>
      </c>
      <c r="E718" s="1" t="s">
        <v>13</v>
      </c>
      <c r="F718" s="1">
        <v>14976</v>
      </c>
      <c r="G718" s="1" t="str">
        <f t="shared" si="33"/>
        <v>Sufficient</v>
      </c>
      <c r="H718" s="1">
        <f t="shared" si="34"/>
        <v>2725632</v>
      </c>
      <c r="I718" s="1">
        <f t="shared" si="35"/>
        <v>2995.2000000000003</v>
      </c>
    </row>
    <row r="719" spans="1:9" x14ac:dyDescent="0.3">
      <c r="A719" s="1" t="s">
        <v>736</v>
      </c>
      <c r="B719" s="1" t="s">
        <v>18</v>
      </c>
      <c r="C719" s="1">
        <v>75</v>
      </c>
      <c r="D719" s="1">
        <v>15</v>
      </c>
      <c r="E719" s="1" t="s">
        <v>10</v>
      </c>
      <c r="F719" s="1">
        <v>2166</v>
      </c>
      <c r="G719" s="1" t="str">
        <f t="shared" si="33"/>
        <v>Sufficient</v>
      </c>
      <c r="H719" s="1">
        <f t="shared" si="34"/>
        <v>162450</v>
      </c>
      <c r="I719" s="1">
        <f t="shared" si="35"/>
        <v>433.20000000000005</v>
      </c>
    </row>
    <row r="720" spans="1:9" x14ac:dyDescent="0.3">
      <c r="A720" s="1" t="s">
        <v>737</v>
      </c>
      <c r="B720" s="1" t="s">
        <v>25</v>
      </c>
      <c r="C720" s="1">
        <v>192</v>
      </c>
      <c r="D720" s="1">
        <v>23</v>
      </c>
      <c r="E720" s="1" t="s">
        <v>10</v>
      </c>
      <c r="F720" s="1">
        <v>20788</v>
      </c>
      <c r="G720" s="1" t="str">
        <f t="shared" si="33"/>
        <v>Sufficient</v>
      </c>
      <c r="H720" s="1">
        <f t="shared" si="34"/>
        <v>3991296</v>
      </c>
      <c r="I720" s="1">
        <f t="shared" si="35"/>
        <v>4157.6000000000004</v>
      </c>
    </row>
    <row r="721" spans="1:9" x14ac:dyDescent="0.3">
      <c r="A721" s="1" t="s">
        <v>738</v>
      </c>
      <c r="B721" s="1" t="s">
        <v>23</v>
      </c>
      <c r="C721" s="1">
        <v>154</v>
      </c>
      <c r="D721" s="1">
        <v>25</v>
      </c>
      <c r="E721" s="1" t="s">
        <v>26</v>
      </c>
      <c r="F721" s="1">
        <v>57283</v>
      </c>
      <c r="G721" s="1" t="str">
        <f t="shared" si="33"/>
        <v>Sufficient</v>
      </c>
      <c r="H721" s="1">
        <f t="shared" si="34"/>
        <v>8821582</v>
      </c>
      <c r="I721" s="1">
        <f t="shared" si="35"/>
        <v>11456.6</v>
      </c>
    </row>
    <row r="722" spans="1:9" x14ac:dyDescent="0.3">
      <c r="A722" s="1" t="s">
        <v>739</v>
      </c>
      <c r="B722" s="1" t="s">
        <v>15</v>
      </c>
      <c r="C722" s="1">
        <v>90</v>
      </c>
      <c r="D722" s="1">
        <v>12</v>
      </c>
      <c r="E722" s="1" t="s">
        <v>16</v>
      </c>
      <c r="F722" s="1">
        <v>10306</v>
      </c>
      <c r="G722" s="1" t="str">
        <f t="shared" si="33"/>
        <v>Sufficient</v>
      </c>
      <c r="H722" s="1">
        <f t="shared" si="34"/>
        <v>927540</v>
      </c>
      <c r="I722" s="1">
        <f t="shared" si="35"/>
        <v>2061.2000000000003</v>
      </c>
    </row>
    <row r="723" spans="1:9" x14ac:dyDescent="0.3">
      <c r="A723" s="1" t="s">
        <v>740</v>
      </c>
      <c r="B723" s="1" t="s">
        <v>23</v>
      </c>
      <c r="C723" s="1">
        <v>188</v>
      </c>
      <c r="D723" s="1">
        <v>21</v>
      </c>
      <c r="E723" s="1" t="s">
        <v>8</v>
      </c>
      <c r="F723" s="1">
        <v>15008</v>
      </c>
      <c r="G723" s="1" t="str">
        <f t="shared" si="33"/>
        <v>Sufficient</v>
      </c>
      <c r="H723" s="1">
        <f t="shared" si="34"/>
        <v>2821504</v>
      </c>
      <c r="I723" s="1">
        <f t="shared" si="35"/>
        <v>3001.6000000000004</v>
      </c>
    </row>
    <row r="724" spans="1:9" x14ac:dyDescent="0.3">
      <c r="A724" s="1" t="s">
        <v>741</v>
      </c>
      <c r="B724" s="1" t="s">
        <v>25</v>
      </c>
      <c r="C724" s="1">
        <v>141</v>
      </c>
      <c r="D724" s="1">
        <v>32</v>
      </c>
      <c r="E724" s="1" t="s">
        <v>10</v>
      </c>
      <c r="F724" s="1">
        <v>37854</v>
      </c>
      <c r="G724" s="1" t="str">
        <f t="shared" si="33"/>
        <v>Sufficient</v>
      </c>
      <c r="H724" s="1">
        <f t="shared" si="34"/>
        <v>5337414</v>
      </c>
      <c r="I724" s="1">
        <f t="shared" si="35"/>
        <v>7570.8</v>
      </c>
    </row>
    <row r="725" spans="1:9" x14ac:dyDescent="0.3">
      <c r="A725" s="1" t="s">
        <v>742</v>
      </c>
      <c r="B725" s="1" t="s">
        <v>20</v>
      </c>
      <c r="C725" s="1">
        <v>76</v>
      </c>
      <c r="D725" s="1">
        <v>44</v>
      </c>
      <c r="E725" s="1" t="s">
        <v>8</v>
      </c>
      <c r="F725" s="1">
        <v>9065</v>
      </c>
      <c r="G725" s="1" t="str">
        <f t="shared" si="33"/>
        <v>Sufficient</v>
      </c>
      <c r="H725" s="1">
        <f t="shared" si="34"/>
        <v>688940</v>
      </c>
      <c r="I725" s="1">
        <f t="shared" si="35"/>
        <v>1813</v>
      </c>
    </row>
    <row r="726" spans="1:9" x14ac:dyDescent="0.3">
      <c r="A726" s="1" t="s">
        <v>743</v>
      </c>
      <c r="B726" s="1" t="s">
        <v>18</v>
      </c>
      <c r="C726" s="1">
        <v>165</v>
      </c>
      <c r="D726" s="1">
        <v>23</v>
      </c>
      <c r="E726" s="1" t="s">
        <v>13</v>
      </c>
      <c r="F726" s="1">
        <v>23683</v>
      </c>
      <c r="G726" s="1" t="str">
        <f t="shared" si="33"/>
        <v>Sufficient</v>
      </c>
      <c r="H726" s="1">
        <f t="shared" si="34"/>
        <v>3907695</v>
      </c>
      <c r="I726" s="1">
        <f t="shared" si="35"/>
        <v>4736.6000000000004</v>
      </c>
    </row>
    <row r="727" spans="1:9" x14ac:dyDescent="0.3">
      <c r="A727" s="1" t="s">
        <v>744</v>
      </c>
      <c r="B727" s="1" t="s">
        <v>7</v>
      </c>
      <c r="C727" s="1">
        <v>84</v>
      </c>
      <c r="D727" s="1">
        <v>37</v>
      </c>
      <c r="E727" s="1" t="s">
        <v>26</v>
      </c>
      <c r="F727" s="1">
        <v>42777</v>
      </c>
      <c r="G727" s="1" t="str">
        <f t="shared" si="33"/>
        <v>Sufficient</v>
      </c>
      <c r="H727" s="1">
        <f t="shared" si="34"/>
        <v>3593268</v>
      </c>
      <c r="I727" s="1">
        <f t="shared" si="35"/>
        <v>8555.4</v>
      </c>
    </row>
    <row r="728" spans="1:9" x14ac:dyDescent="0.3">
      <c r="A728" s="1" t="s">
        <v>745</v>
      </c>
      <c r="B728" s="1" t="s">
        <v>18</v>
      </c>
      <c r="C728" s="1">
        <v>140</v>
      </c>
      <c r="D728" s="1">
        <v>44</v>
      </c>
      <c r="E728" s="1" t="s">
        <v>26</v>
      </c>
      <c r="F728" s="1">
        <v>34915</v>
      </c>
      <c r="G728" s="1" t="str">
        <f t="shared" si="33"/>
        <v>Sufficient</v>
      </c>
      <c r="H728" s="1">
        <f t="shared" si="34"/>
        <v>4888100</v>
      </c>
      <c r="I728" s="1">
        <f t="shared" si="35"/>
        <v>6983</v>
      </c>
    </row>
    <row r="729" spans="1:9" x14ac:dyDescent="0.3">
      <c r="A729" s="1" t="s">
        <v>746</v>
      </c>
      <c r="B729" s="1" t="s">
        <v>15</v>
      </c>
      <c r="C729" s="1">
        <v>188</v>
      </c>
      <c r="D729" s="1">
        <v>32</v>
      </c>
      <c r="E729" s="1" t="s">
        <v>8</v>
      </c>
      <c r="F729" s="1">
        <v>62987</v>
      </c>
      <c r="G729" s="1" t="str">
        <f t="shared" si="33"/>
        <v>Sufficient</v>
      </c>
      <c r="H729" s="1">
        <f t="shared" si="34"/>
        <v>11841556</v>
      </c>
      <c r="I729" s="1">
        <f t="shared" si="35"/>
        <v>12597.400000000001</v>
      </c>
    </row>
    <row r="730" spans="1:9" x14ac:dyDescent="0.3">
      <c r="A730" s="1" t="s">
        <v>747</v>
      </c>
      <c r="B730" s="1" t="s">
        <v>20</v>
      </c>
      <c r="C730" s="1">
        <v>123</v>
      </c>
      <c r="D730" s="1">
        <v>46</v>
      </c>
      <c r="E730" s="1" t="s">
        <v>8</v>
      </c>
      <c r="F730" s="1">
        <v>24545</v>
      </c>
      <c r="G730" s="1" t="str">
        <f t="shared" si="33"/>
        <v>Sufficient</v>
      </c>
      <c r="H730" s="1">
        <f t="shared" si="34"/>
        <v>3019035</v>
      </c>
      <c r="I730" s="1">
        <f t="shared" si="35"/>
        <v>4909</v>
      </c>
    </row>
    <row r="731" spans="1:9" x14ac:dyDescent="0.3">
      <c r="A731" s="1" t="s">
        <v>748</v>
      </c>
      <c r="B731" s="1" t="s">
        <v>23</v>
      </c>
      <c r="C731" s="1">
        <v>36</v>
      </c>
      <c r="D731" s="1">
        <v>24</v>
      </c>
      <c r="E731" s="1" t="s">
        <v>13</v>
      </c>
      <c r="F731" s="1">
        <v>12007</v>
      </c>
      <c r="G731" s="1" t="str">
        <f t="shared" si="33"/>
        <v>Sufficient</v>
      </c>
      <c r="H731" s="1">
        <f t="shared" si="34"/>
        <v>432252</v>
      </c>
      <c r="I731" s="1">
        <f t="shared" si="35"/>
        <v>2401.4</v>
      </c>
    </row>
    <row r="732" spans="1:9" x14ac:dyDescent="0.3">
      <c r="A732" s="1" t="s">
        <v>749</v>
      </c>
      <c r="B732" s="1" t="s">
        <v>20</v>
      </c>
      <c r="C732" s="1">
        <v>188</v>
      </c>
      <c r="D732" s="1">
        <v>41</v>
      </c>
      <c r="E732" s="1" t="s">
        <v>13</v>
      </c>
      <c r="F732" s="1">
        <v>17403</v>
      </c>
      <c r="G732" s="1" t="str">
        <f t="shared" si="33"/>
        <v>Sufficient</v>
      </c>
      <c r="H732" s="1">
        <f t="shared" si="34"/>
        <v>3271764</v>
      </c>
      <c r="I732" s="1">
        <f t="shared" si="35"/>
        <v>3480.6000000000004</v>
      </c>
    </row>
    <row r="733" spans="1:9" x14ac:dyDescent="0.3">
      <c r="A733" s="1" t="s">
        <v>750</v>
      </c>
      <c r="B733" s="1" t="s">
        <v>15</v>
      </c>
      <c r="C733" s="1">
        <v>199</v>
      </c>
      <c r="D733" s="1">
        <v>25</v>
      </c>
      <c r="E733" s="1" t="s">
        <v>8</v>
      </c>
      <c r="F733" s="1">
        <v>42604</v>
      </c>
      <c r="G733" s="1" t="str">
        <f t="shared" si="33"/>
        <v>Sufficient</v>
      </c>
      <c r="H733" s="1">
        <f t="shared" si="34"/>
        <v>8478196</v>
      </c>
      <c r="I733" s="1">
        <f t="shared" si="35"/>
        <v>8520.8000000000011</v>
      </c>
    </row>
    <row r="734" spans="1:9" x14ac:dyDescent="0.3">
      <c r="A734" s="1" t="s">
        <v>751</v>
      </c>
      <c r="B734" s="1" t="s">
        <v>15</v>
      </c>
      <c r="C734" s="1">
        <v>39</v>
      </c>
      <c r="D734" s="1">
        <v>29</v>
      </c>
      <c r="E734" s="1" t="s">
        <v>10</v>
      </c>
      <c r="F734" s="1">
        <v>1217</v>
      </c>
      <c r="G734" s="1" t="str">
        <f t="shared" si="33"/>
        <v>Sufficient</v>
      </c>
      <c r="H734" s="1">
        <f t="shared" si="34"/>
        <v>47463</v>
      </c>
      <c r="I734" s="1">
        <f t="shared" si="35"/>
        <v>243.4</v>
      </c>
    </row>
    <row r="735" spans="1:9" x14ac:dyDescent="0.3">
      <c r="A735" s="1" t="s">
        <v>752</v>
      </c>
      <c r="B735" s="1" t="s">
        <v>20</v>
      </c>
      <c r="C735" s="1">
        <v>193</v>
      </c>
      <c r="D735" s="1">
        <v>16</v>
      </c>
      <c r="E735" s="1" t="s">
        <v>26</v>
      </c>
      <c r="F735" s="1">
        <v>60667</v>
      </c>
      <c r="G735" s="1" t="str">
        <f t="shared" si="33"/>
        <v>Sufficient</v>
      </c>
      <c r="H735" s="1">
        <f t="shared" si="34"/>
        <v>11708731</v>
      </c>
      <c r="I735" s="1">
        <f t="shared" si="35"/>
        <v>12133.400000000001</v>
      </c>
    </row>
    <row r="736" spans="1:9" x14ac:dyDescent="0.3">
      <c r="A736" s="1" t="s">
        <v>753</v>
      </c>
      <c r="B736" s="1" t="s">
        <v>20</v>
      </c>
      <c r="C736" s="1">
        <v>10</v>
      </c>
      <c r="D736" s="1">
        <v>21</v>
      </c>
      <c r="E736" s="1" t="s">
        <v>26</v>
      </c>
      <c r="F736" s="1">
        <v>67222</v>
      </c>
      <c r="G736" s="1" t="str">
        <f t="shared" si="33"/>
        <v>Low Stock</v>
      </c>
      <c r="H736" s="1">
        <f t="shared" si="34"/>
        <v>672220</v>
      </c>
      <c r="I736" s="1">
        <f t="shared" si="35"/>
        <v>13444.400000000001</v>
      </c>
    </row>
    <row r="737" spans="1:9" x14ac:dyDescent="0.3">
      <c r="A737" s="1" t="s">
        <v>754</v>
      </c>
      <c r="B737" s="1" t="s">
        <v>25</v>
      </c>
      <c r="C737" s="1">
        <v>152</v>
      </c>
      <c r="D737" s="1">
        <v>18</v>
      </c>
      <c r="E737" s="1" t="s">
        <v>8</v>
      </c>
      <c r="F737" s="1">
        <v>71361</v>
      </c>
      <c r="G737" s="1" t="str">
        <f t="shared" si="33"/>
        <v>Sufficient</v>
      </c>
      <c r="H737" s="1">
        <f t="shared" si="34"/>
        <v>10846872</v>
      </c>
      <c r="I737" s="1">
        <f t="shared" si="35"/>
        <v>14272.2</v>
      </c>
    </row>
    <row r="738" spans="1:9" x14ac:dyDescent="0.3">
      <c r="A738" s="1" t="s">
        <v>755</v>
      </c>
      <c r="B738" s="1" t="s">
        <v>20</v>
      </c>
      <c r="C738" s="1">
        <v>37</v>
      </c>
      <c r="D738" s="1">
        <v>35</v>
      </c>
      <c r="E738" s="1" t="s">
        <v>13</v>
      </c>
      <c r="F738" s="1">
        <v>50162</v>
      </c>
      <c r="G738" s="1" t="str">
        <f t="shared" si="33"/>
        <v>Sufficient</v>
      </c>
      <c r="H738" s="1">
        <f t="shared" si="34"/>
        <v>1855994</v>
      </c>
      <c r="I738" s="1">
        <f t="shared" si="35"/>
        <v>10032.400000000001</v>
      </c>
    </row>
    <row r="739" spans="1:9" x14ac:dyDescent="0.3">
      <c r="A739" s="1" t="s">
        <v>756</v>
      </c>
      <c r="B739" s="1" t="s">
        <v>25</v>
      </c>
      <c r="C739" s="1">
        <v>168</v>
      </c>
      <c r="D739" s="1">
        <v>42</v>
      </c>
      <c r="E739" s="1" t="s">
        <v>16</v>
      </c>
      <c r="F739" s="1">
        <v>6486</v>
      </c>
      <c r="G739" s="1" t="str">
        <f t="shared" si="33"/>
        <v>Sufficient</v>
      </c>
      <c r="H739" s="1">
        <f t="shared" si="34"/>
        <v>1089648</v>
      </c>
      <c r="I739" s="1">
        <f t="shared" si="35"/>
        <v>1297.2</v>
      </c>
    </row>
    <row r="740" spans="1:9" x14ac:dyDescent="0.3">
      <c r="A740" s="1" t="s">
        <v>757</v>
      </c>
      <c r="B740" s="1" t="s">
        <v>20</v>
      </c>
      <c r="C740" s="1">
        <v>46</v>
      </c>
      <c r="D740" s="1">
        <v>49</v>
      </c>
      <c r="E740" s="1" t="s">
        <v>13</v>
      </c>
      <c r="F740" s="1">
        <v>66354</v>
      </c>
      <c r="G740" s="1" t="str">
        <f t="shared" si="33"/>
        <v>Low Stock</v>
      </c>
      <c r="H740" s="1">
        <f t="shared" si="34"/>
        <v>3052284</v>
      </c>
      <c r="I740" s="1">
        <f t="shared" si="35"/>
        <v>13270.800000000001</v>
      </c>
    </row>
    <row r="741" spans="1:9" x14ac:dyDescent="0.3">
      <c r="A741" s="1" t="s">
        <v>758</v>
      </c>
      <c r="B741" s="1" t="s">
        <v>20</v>
      </c>
      <c r="C741" s="1">
        <v>41</v>
      </c>
      <c r="D741" s="1">
        <v>50</v>
      </c>
      <c r="E741" s="1" t="s">
        <v>13</v>
      </c>
      <c r="F741" s="1">
        <v>69287</v>
      </c>
      <c r="G741" s="1" t="str">
        <f t="shared" si="33"/>
        <v>Low Stock</v>
      </c>
      <c r="H741" s="1">
        <f t="shared" si="34"/>
        <v>2840767</v>
      </c>
      <c r="I741" s="1">
        <f t="shared" si="35"/>
        <v>13857.400000000001</v>
      </c>
    </row>
    <row r="742" spans="1:9" x14ac:dyDescent="0.3">
      <c r="A742" s="1" t="s">
        <v>759</v>
      </c>
      <c r="B742" s="1" t="s">
        <v>12</v>
      </c>
      <c r="C742" s="1">
        <v>194</v>
      </c>
      <c r="D742" s="1">
        <v>24</v>
      </c>
      <c r="E742" s="1" t="s">
        <v>13</v>
      </c>
      <c r="F742" s="1">
        <v>30111</v>
      </c>
      <c r="G742" s="1" t="str">
        <f t="shared" si="33"/>
        <v>Sufficient</v>
      </c>
      <c r="H742" s="1">
        <f t="shared" si="34"/>
        <v>5841534</v>
      </c>
      <c r="I742" s="1">
        <f t="shared" si="35"/>
        <v>6022.2000000000007</v>
      </c>
    </row>
    <row r="743" spans="1:9" x14ac:dyDescent="0.3">
      <c r="A743" s="1" t="s">
        <v>760</v>
      </c>
      <c r="B743" s="1" t="s">
        <v>25</v>
      </c>
      <c r="C743" s="1">
        <v>142</v>
      </c>
      <c r="D743" s="1">
        <v>37</v>
      </c>
      <c r="E743" s="1" t="s">
        <v>26</v>
      </c>
      <c r="F743" s="1">
        <v>21167</v>
      </c>
      <c r="G743" s="1" t="str">
        <f t="shared" si="33"/>
        <v>Sufficient</v>
      </c>
      <c r="H743" s="1">
        <f t="shared" si="34"/>
        <v>3005714</v>
      </c>
      <c r="I743" s="1">
        <f t="shared" si="35"/>
        <v>4233.4000000000005</v>
      </c>
    </row>
    <row r="744" spans="1:9" x14ac:dyDescent="0.3">
      <c r="A744" s="1" t="s">
        <v>761</v>
      </c>
      <c r="B744" s="1" t="s">
        <v>29</v>
      </c>
      <c r="C744" s="1">
        <v>153</v>
      </c>
      <c r="D744" s="1">
        <v>17</v>
      </c>
      <c r="E744" s="1" t="s">
        <v>8</v>
      </c>
      <c r="F744" s="1">
        <v>76692</v>
      </c>
      <c r="G744" s="1" t="str">
        <f t="shared" si="33"/>
        <v>Sufficient</v>
      </c>
      <c r="H744" s="1">
        <f t="shared" si="34"/>
        <v>11733876</v>
      </c>
      <c r="I744" s="1">
        <f t="shared" si="35"/>
        <v>15338.400000000001</v>
      </c>
    </row>
    <row r="745" spans="1:9" x14ac:dyDescent="0.3">
      <c r="A745" s="1" t="s">
        <v>762</v>
      </c>
      <c r="B745" s="1" t="s">
        <v>23</v>
      </c>
      <c r="C745" s="1">
        <v>198</v>
      </c>
      <c r="D745" s="1">
        <v>17</v>
      </c>
      <c r="E745" s="1" t="s">
        <v>26</v>
      </c>
      <c r="F745" s="1">
        <v>25636</v>
      </c>
      <c r="G745" s="1" t="str">
        <f t="shared" si="33"/>
        <v>Sufficient</v>
      </c>
      <c r="H745" s="1">
        <f t="shared" si="34"/>
        <v>5075928</v>
      </c>
      <c r="I745" s="1">
        <f t="shared" si="35"/>
        <v>5127.2000000000007</v>
      </c>
    </row>
    <row r="746" spans="1:9" x14ac:dyDescent="0.3">
      <c r="A746" s="1" t="s">
        <v>763</v>
      </c>
      <c r="B746" s="1" t="s">
        <v>23</v>
      </c>
      <c r="C746" s="1">
        <v>6</v>
      </c>
      <c r="D746" s="1">
        <v>14</v>
      </c>
      <c r="E746" s="1" t="s">
        <v>26</v>
      </c>
      <c r="F746" s="1">
        <v>69597</v>
      </c>
      <c r="G746" s="1" t="str">
        <f t="shared" si="33"/>
        <v>Low Stock</v>
      </c>
      <c r="H746" s="1">
        <f t="shared" si="34"/>
        <v>417582</v>
      </c>
      <c r="I746" s="1">
        <f t="shared" si="35"/>
        <v>13919.400000000001</v>
      </c>
    </row>
    <row r="747" spans="1:9" x14ac:dyDescent="0.3">
      <c r="A747" s="1" t="s">
        <v>764</v>
      </c>
      <c r="B747" s="1" t="s">
        <v>12</v>
      </c>
      <c r="C747" s="1">
        <v>14</v>
      </c>
      <c r="D747" s="1">
        <v>40</v>
      </c>
      <c r="E747" s="1" t="s">
        <v>13</v>
      </c>
      <c r="F747" s="1">
        <v>76794</v>
      </c>
      <c r="G747" s="1" t="str">
        <f t="shared" si="33"/>
        <v>Low Stock</v>
      </c>
      <c r="H747" s="1">
        <f t="shared" si="34"/>
        <v>1075116</v>
      </c>
      <c r="I747" s="1">
        <f t="shared" si="35"/>
        <v>15358.800000000001</v>
      </c>
    </row>
    <row r="748" spans="1:9" x14ac:dyDescent="0.3">
      <c r="A748" s="1" t="s">
        <v>765</v>
      </c>
      <c r="B748" s="1" t="s">
        <v>18</v>
      </c>
      <c r="C748" s="1">
        <v>61</v>
      </c>
      <c r="D748" s="1">
        <v>24</v>
      </c>
      <c r="E748" s="1" t="s">
        <v>8</v>
      </c>
      <c r="F748" s="1">
        <v>3810</v>
      </c>
      <c r="G748" s="1" t="str">
        <f t="shared" si="33"/>
        <v>Sufficient</v>
      </c>
      <c r="H748" s="1">
        <f t="shared" si="34"/>
        <v>232410</v>
      </c>
      <c r="I748" s="1">
        <f t="shared" si="35"/>
        <v>762</v>
      </c>
    </row>
    <row r="749" spans="1:9" x14ac:dyDescent="0.3">
      <c r="A749" s="1" t="s">
        <v>766</v>
      </c>
      <c r="B749" s="1" t="s">
        <v>29</v>
      </c>
      <c r="C749" s="1">
        <v>108</v>
      </c>
      <c r="D749" s="1">
        <v>39</v>
      </c>
      <c r="E749" s="1" t="s">
        <v>13</v>
      </c>
      <c r="F749" s="1">
        <v>14369</v>
      </c>
      <c r="G749" s="1" t="str">
        <f t="shared" si="33"/>
        <v>Sufficient</v>
      </c>
      <c r="H749" s="1">
        <f t="shared" si="34"/>
        <v>1551852</v>
      </c>
      <c r="I749" s="1">
        <f t="shared" si="35"/>
        <v>2873.8</v>
      </c>
    </row>
    <row r="750" spans="1:9" x14ac:dyDescent="0.3">
      <c r="A750" s="1" t="s">
        <v>767</v>
      </c>
      <c r="B750" s="1" t="s">
        <v>23</v>
      </c>
      <c r="C750" s="1">
        <v>59</v>
      </c>
      <c r="D750" s="1">
        <v>47</v>
      </c>
      <c r="E750" s="1" t="s">
        <v>13</v>
      </c>
      <c r="F750" s="1">
        <v>6951</v>
      </c>
      <c r="G750" s="1" t="str">
        <f t="shared" si="33"/>
        <v>Sufficient</v>
      </c>
      <c r="H750" s="1">
        <f t="shared" si="34"/>
        <v>410109</v>
      </c>
      <c r="I750" s="1">
        <f t="shared" si="35"/>
        <v>1390.2</v>
      </c>
    </row>
    <row r="751" spans="1:9" x14ac:dyDescent="0.3">
      <c r="A751" s="1" t="s">
        <v>768</v>
      </c>
      <c r="B751" s="1" t="s">
        <v>12</v>
      </c>
      <c r="C751" s="1">
        <v>123</v>
      </c>
      <c r="D751" s="1">
        <v>20</v>
      </c>
      <c r="E751" s="1" t="s">
        <v>16</v>
      </c>
      <c r="F751" s="1">
        <v>27717</v>
      </c>
      <c r="G751" s="1" t="str">
        <f t="shared" si="33"/>
        <v>Sufficient</v>
      </c>
      <c r="H751" s="1">
        <f t="shared" si="34"/>
        <v>3409191</v>
      </c>
      <c r="I751" s="1">
        <f t="shared" si="35"/>
        <v>5543.4000000000005</v>
      </c>
    </row>
    <row r="752" spans="1:9" x14ac:dyDescent="0.3">
      <c r="A752" s="1" t="s">
        <v>769</v>
      </c>
      <c r="B752" s="1" t="s">
        <v>25</v>
      </c>
      <c r="C752" s="1">
        <v>90</v>
      </c>
      <c r="D752" s="1">
        <v>30</v>
      </c>
      <c r="E752" s="1" t="s">
        <v>26</v>
      </c>
      <c r="F752" s="1">
        <v>49333</v>
      </c>
      <c r="G752" s="1" t="str">
        <f t="shared" si="33"/>
        <v>Sufficient</v>
      </c>
      <c r="H752" s="1">
        <f t="shared" si="34"/>
        <v>4439970</v>
      </c>
      <c r="I752" s="1">
        <f t="shared" si="35"/>
        <v>9866.6</v>
      </c>
    </row>
    <row r="753" spans="1:9" x14ac:dyDescent="0.3">
      <c r="A753" s="1" t="s">
        <v>770</v>
      </c>
      <c r="B753" s="1" t="s">
        <v>20</v>
      </c>
      <c r="C753" s="1">
        <v>191</v>
      </c>
      <c r="D753" s="1">
        <v>25</v>
      </c>
      <c r="E753" s="1" t="s">
        <v>16</v>
      </c>
      <c r="F753" s="1">
        <v>61300</v>
      </c>
      <c r="G753" s="1" t="str">
        <f t="shared" si="33"/>
        <v>Sufficient</v>
      </c>
      <c r="H753" s="1">
        <f t="shared" si="34"/>
        <v>11708300</v>
      </c>
      <c r="I753" s="1">
        <f t="shared" si="35"/>
        <v>12260</v>
      </c>
    </row>
    <row r="754" spans="1:9" x14ac:dyDescent="0.3">
      <c r="A754" s="1" t="s">
        <v>771</v>
      </c>
      <c r="B754" s="1" t="s">
        <v>23</v>
      </c>
      <c r="C754" s="1">
        <v>123</v>
      </c>
      <c r="D754" s="1">
        <v>45</v>
      </c>
      <c r="E754" s="1" t="s">
        <v>16</v>
      </c>
      <c r="F754" s="1">
        <v>71187</v>
      </c>
      <c r="G754" s="1" t="str">
        <f t="shared" si="33"/>
        <v>Sufficient</v>
      </c>
      <c r="H754" s="1">
        <f t="shared" si="34"/>
        <v>8756001</v>
      </c>
      <c r="I754" s="1">
        <f t="shared" si="35"/>
        <v>14237.400000000001</v>
      </c>
    </row>
    <row r="755" spans="1:9" x14ac:dyDescent="0.3">
      <c r="A755" s="1" t="s">
        <v>772</v>
      </c>
      <c r="B755" s="1" t="s">
        <v>23</v>
      </c>
      <c r="C755" s="1">
        <v>54</v>
      </c>
      <c r="D755" s="1">
        <v>10</v>
      </c>
      <c r="E755" s="1" t="s">
        <v>13</v>
      </c>
      <c r="F755" s="1">
        <v>62510</v>
      </c>
      <c r="G755" s="1" t="str">
        <f t="shared" si="33"/>
        <v>Sufficient</v>
      </c>
      <c r="H755" s="1">
        <f t="shared" si="34"/>
        <v>3375540</v>
      </c>
      <c r="I755" s="1">
        <f t="shared" si="35"/>
        <v>12502</v>
      </c>
    </row>
    <row r="756" spans="1:9" x14ac:dyDescent="0.3">
      <c r="A756" s="1" t="s">
        <v>773</v>
      </c>
      <c r="B756" s="1" t="s">
        <v>15</v>
      </c>
      <c r="C756" s="1">
        <v>74</v>
      </c>
      <c r="D756" s="1">
        <v>18</v>
      </c>
      <c r="E756" s="1" t="s">
        <v>10</v>
      </c>
      <c r="F756" s="1">
        <v>10383</v>
      </c>
      <c r="G756" s="1" t="str">
        <f t="shared" si="33"/>
        <v>Sufficient</v>
      </c>
      <c r="H756" s="1">
        <f t="shared" si="34"/>
        <v>768342</v>
      </c>
      <c r="I756" s="1">
        <f t="shared" si="35"/>
        <v>2076.6</v>
      </c>
    </row>
    <row r="757" spans="1:9" x14ac:dyDescent="0.3">
      <c r="A757" s="1" t="s">
        <v>774</v>
      </c>
      <c r="B757" s="1" t="s">
        <v>23</v>
      </c>
      <c r="C757" s="1">
        <v>147</v>
      </c>
      <c r="D757" s="1">
        <v>48</v>
      </c>
      <c r="E757" s="1" t="s">
        <v>8</v>
      </c>
      <c r="F757" s="1">
        <v>30841</v>
      </c>
      <c r="G757" s="1" t="str">
        <f t="shared" si="33"/>
        <v>Sufficient</v>
      </c>
      <c r="H757" s="1">
        <f t="shared" si="34"/>
        <v>4533627</v>
      </c>
      <c r="I757" s="1">
        <f t="shared" si="35"/>
        <v>6168.2000000000007</v>
      </c>
    </row>
    <row r="758" spans="1:9" x14ac:dyDescent="0.3">
      <c r="A758" s="1" t="s">
        <v>775</v>
      </c>
      <c r="B758" s="1" t="s">
        <v>12</v>
      </c>
      <c r="C758" s="1">
        <v>170</v>
      </c>
      <c r="D758" s="1">
        <v>25</v>
      </c>
      <c r="E758" s="1" t="s">
        <v>8</v>
      </c>
      <c r="F758" s="1">
        <v>47130</v>
      </c>
      <c r="G758" s="1" t="str">
        <f t="shared" si="33"/>
        <v>Sufficient</v>
      </c>
      <c r="H758" s="1">
        <f t="shared" si="34"/>
        <v>8012100</v>
      </c>
      <c r="I758" s="1">
        <f t="shared" si="35"/>
        <v>9426</v>
      </c>
    </row>
    <row r="759" spans="1:9" x14ac:dyDescent="0.3">
      <c r="A759" s="1" t="s">
        <v>776</v>
      </c>
      <c r="B759" s="1" t="s">
        <v>23</v>
      </c>
      <c r="C759" s="1">
        <v>56</v>
      </c>
      <c r="D759" s="1">
        <v>36</v>
      </c>
      <c r="E759" s="1" t="s">
        <v>13</v>
      </c>
      <c r="F759" s="1">
        <v>25301</v>
      </c>
      <c r="G759" s="1" t="str">
        <f t="shared" si="33"/>
        <v>Sufficient</v>
      </c>
      <c r="H759" s="1">
        <f t="shared" si="34"/>
        <v>1416856</v>
      </c>
      <c r="I759" s="1">
        <f t="shared" si="35"/>
        <v>5060.2000000000007</v>
      </c>
    </row>
    <row r="760" spans="1:9" x14ac:dyDescent="0.3">
      <c r="A760" s="1" t="s">
        <v>777</v>
      </c>
      <c r="B760" s="1" t="s">
        <v>7</v>
      </c>
      <c r="C760" s="1">
        <v>184</v>
      </c>
      <c r="D760" s="1">
        <v>37</v>
      </c>
      <c r="E760" s="1" t="s">
        <v>10</v>
      </c>
      <c r="F760" s="1">
        <v>50887</v>
      </c>
      <c r="G760" s="1" t="str">
        <f t="shared" si="33"/>
        <v>Sufficient</v>
      </c>
      <c r="H760" s="1">
        <f t="shared" si="34"/>
        <v>9363208</v>
      </c>
      <c r="I760" s="1">
        <f t="shared" si="35"/>
        <v>10177.400000000001</v>
      </c>
    </row>
    <row r="761" spans="1:9" x14ac:dyDescent="0.3">
      <c r="A761" s="1" t="s">
        <v>778</v>
      </c>
      <c r="B761" s="1" t="s">
        <v>20</v>
      </c>
      <c r="C761" s="1">
        <v>44</v>
      </c>
      <c r="D761" s="1">
        <v>16</v>
      </c>
      <c r="E761" s="1" t="s">
        <v>10</v>
      </c>
      <c r="F761" s="1">
        <v>9671</v>
      </c>
      <c r="G761" s="1" t="str">
        <f t="shared" si="33"/>
        <v>Sufficient</v>
      </c>
      <c r="H761" s="1">
        <f t="shared" si="34"/>
        <v>425524</v>
      </c>
      <c r="I761" s="1">
        <f t="shared" si="35"/>
        <v>1934.2</v>
      </c>
    </row>
    <row r="762" spans="1:9" x14ac:dyDescent="0.3">
      <c r="A762" s="1" t="s">
        <v>779</v>
      </c>
      <c r="B762" s="1" t="s">
        <v>29</v>
      </c>
      <c r="C762" s="1">
        <v>58</v>
      </c>
      <c r="D762" s="1">
        <v>48</v>
      </c>
      <c r="E762" s="1" t="s">
        <v>16</v>
      </c>
      <c r="F762" s="1">
        <v>40519</v>
      </c>
      <c r="G762" s="1" t="str">
        <f t="shared" si="33"/>
        <v>Sufficient</v>
      </c>
      <c r="H762" s="1">
        <f t="shared" si="34"/>
        <v>2350102</v>
      </c>
      <c r="I762" s="1">
        <f t="shared" si="35"/>
        <v>8103.8</v>
      </c>
    </row>
    <row r="763" spans="1:9" x14ac:dyDescent="0.3">
      <c r="A763" s="1" t="s">
        <v>780</v>
      </c>
      <c r="B763" s="1" t="s">
        <v>18</v>
      </c>
      <c r="C763" s="1">
        <v>71</v>
      </c>
      <c r="D763" s="1">
        <v>14</v>
      </c>
      <c r="E763" s="1" t="s">
        <v>10</v>
      </c>
      <c r="F763" s="1">
        <v>28719</v>
      </c>
      <c r="G763" s="1" t="str">
        <f t="shared" si="33"/>
        <v>Sufficient</v>
      </c>
      <c r="H763" s="1">
        <f t="shared" si="34"/>
        <v>2039049</v>
      </c>
      <c r="I763" s="1">
        <f t="shared" si="35"/>
        <v>5743.8</v>
      </c>
    </row>
    <row r="764" spans="1:9" x14ac:dyDescent="0.3">
      <c r="A764" s="1" t="s">
        <v>781</v>
      </c>
      <c r="B764" s="1" t="s">
        <v>7</v>
      </c>
      <c r="C764" s="1">
        <v>140</v>
      </c>
      <c r="D764" s="1">
        <v>45</v>
      </c>
      <c r="E764" s="1" t="s">
        <v>26</v>
      </c>
      <c r="F764" s="1">
        <v>61575</v>
      </c>
      <c r="G764" s="1" t="str">
        <f t="shared" si="33"/>
        <v>Sufficient</v>
      </c>
      <c r="H764" s="1">
        <f t="shared" si="34"/>
        <v>8620500</v>
      </c>
      <c r="I764" s="1">
        <f t="shared" si="35"/>
        <v>12315</v>
      </c>
    </row>
    <row r="765" spans="1:9" x14ac:dyDescent="0.3">
      <c r="A765" s="1" t="s">
        <v>782</v>
      </c>
      <c r="B765" s="1" t="s">
        <v>15</v>
      </c>
      <c r="C765" s="1">
        <v>56</v>
      </c>
      <c r="D765" s="1">
        <v>10</v>
      </c>
      <c r="E765" s="1" t="s">
        <v>10</v>
      </c>
      <c r="F765" s="1">
        <v>65084</v>
      </c>
      <c r="G765" s="1" t="str">
        <f t="shared" si="33"/>
        <v>Sufficient</v>
      </c>
      <c r="H765" s="1">
        <f t="shared" si="34"/>
        <v>3644704</v>
      </c>
      <c r="I765" s="1">
        <f t="shared" si="35"/>
        <v>13016.800000000001</v>
      </c>
    </row>
    <row r="766" spans="1:9" x14ac:dyDescent="0.3">
      <c r="A766" s="1" t="s">
        <v>783</v>
      </c>
      <c r="B766" s="1" t="s">
        <v>15</v>
      </c>
      <c r="C766" s="1">
        <v>165</v>
      </c>
      <c r="D766" s="1">
        <v>45</v>
      </c>
      <c r="E766" s="1" t="s">
        <v>13</v>
      </c>
      <c r="F766" s="1">
        <v>34559</v>
      </c>
      <c r="G766" s="1" t="str">
        <f t="shared" si="33"/>
        <v>Sufficient</v>
      </c>
      <c r="H766" s="1">
        <f t="shared" si="34"/>
        <v>5702235</v>
      </c>
      <c r="I766" s="1">
        <f t="shared" si="35"/>
        <v>6911.8</v>
      </c>
    </row>
    <row r="767" spans="1:9" x14ac:dyDescent="0.3">
      <c r="A767" s="1" t="s">
        <v>784</v>
      </c>
      <c r="B767" s="1" t="s">
        <v>7</v>
      </c>
      <c r="C767" s="1">
        <v>168</v>
      </c>
      <c r="D767" s="1">
        <v>42</v>
      </c>
      <c r="E767" s="1" t="s">
        <v>16</v>
      </c>
      <c r="F767" s="1">
        <v>9795</v>
      </c>
      <c r="G767" s="1" t="str">
        <f t="shared" si="33"/>
        <v>Sufficient</v>
      </c>
      <c r="H767" s="1">
        <f t="shared" si="34"/>
        <v>1645560</v>
      </c>
      <c r="I767" s="1">
        <f t="shared" si="35"/>
        <v>1959</v>
      </c>
    </row>
    <row r="768" spans="1:9" x14ac:dyDescent="0.3">
      <c r="A768" s="1" t="s">
        <v>785</v>
      </c>
      <c r="B768" s="1" t="s">
        <v>25</v>
      </c>
      <c r="C768" s="1">
        <v>20</v>
      </c>
      <c r="D768" s="1">
        <v>35</v>
      </c>
      <c r="E768" s="1" t="s">
        <v>16</v>
      </c>
      <c r="F768" s="1">
        <v>28780</v>
      </c>
      <c r="G768" s="1" t="str">
        <f t="shared" si="33"/>
        <v>Low Stock</v>
      </c>
      <c r="H768" s="1">
        <f t="shared" si="34"/>
        <v>575600</v>
      </c>
      <c r="I768" s="1">
        <f t="shared" si="35"/>
        <v>5756</v>
      </c>
    </row>
    <row r="769" spans="1:9" x14ac:dyDescent="0.3">
      <c r="A769" s="1" t="s">
        <v>786</v>
      </c>
      <c r="B769" s="1" t="s">
        <v>7</v>
      </c>
      <c r="C769" s="1">
        <v>195</v>
      </c>
      <c r="D769" s="1">
        <v>33</v>
      </c>
      <c r="E769" s="1" t="s">
        <v>26</v>
      </c>
      <c r="F769" s="1">
        <v>32749</v>
      </c>
      <c r="G769" s="1" t="str">
        <f t="shared" si="33"/>
        <v>Sufficient</v>
      </c>
      <c r="H769" s="1">
        <f t="shared" si="34"/>
        <v>6386055</v>
      </c>
      <c r="I769" s="1">
        <f t="shared" si="35"/>
        <v>6549.8</v>
      </c>
    </row>
    <row r="770" spans="1:9" x14ac:dyDescent="0.3">
      <c r="A770" s="1" t="s">
        <v>787</v>
      </c>
      <c r="B770" s="1" t="s">
        <v>7</v>
      </c>
      <c r="C770" s="1">
        <v>146</v>
      </c>
      <c r="D770" s="1">
        <v>38</v>
      </c>
      <c r="E770" s="1" t="s">
        <v>16</v>
      </c>
      <c r="F770" s="1">
        <v>70993</v>
      </c>
      <c r="G770" s="1" t="str">
        <f t="shared" si="33"/>
        <v>Sufficient</v>
      </c>
      <c r="H770" s="1">
        <f t="shared" si="34"/>
        <v>10364978</v>
      </c>
      <c r="I770" s="1">
        <f t="shared" si="35"/>
        <v>14198.6</v>
      </c>
    </row>
    <row r="771" spans="1:9" x14ac:dyDescent="0.3">
      <c r="A771" s="1" t="s">
        <v>788</v>
      </c>
      <c r="B771" s="1" t="s">
        <v>15</v>
      </c>
      <c r="C771" s="1">
        <v>1</v>
      </c>
      <c r="D771" s="1">
        <v>26</v>
      </c>
      <c r="E771" s="1" t="s">
        <v>26</v>
      </c>
      <c r="F771" s="1">
        <v>63999</v>
      </c>
      <c r="G771" s="1" t="str">
        <f t="shared" ref="G771:G834" si="36">IF(C771=0,"Pending",IF(C771&lt;=D771,"Low Stock", "Sufficient"))</f>
        <v>Low Stock</v>
      </c>
      <c r="H771" s="1">
        <f t="shared" ref="H771:H834" si="37">C771*F771</f>
        <v>63999</v>
      </c>
      <c r="I771" s="1">
        <f t="shared" ref="I771:I834" si="38">F771*0.2</f>
        <v>12799.800000000001</v>
      </c>
    </row>
    <row r="772" spans="1:9" x14ac:dyDescent="0.3">
      <c r="A772" s="1" t="s">
        <v>789</v>
      </c>
      <c r="B772" s="1" t="s">
        <v>12</v>
      </c>
      <c r="C772" s="1">
        <v>12</v>
      </c>
      <c r="D772" s="1">
        <v>20</v>
      </c>
      <c r="E772" s="1" t="s">
        <v>16</v>
      </c>
      <c r="F772" s="1">
        <v>49305</v>
      </c>
      <c r="G772" s="1" t="str">
        <f t="shared" si="36"/>
        <v>Low Stock</v>
      </c>
      <c r="H772" s="1">
        <f t="shared" si="37"/>
        <v>591660</v>
      </c>
      <c r="I772" s="1">
        <f t="shared" si="38"/>
        <v>9861</v>
      </c>
    </row>
    <row r="773" spans="1:9" x14ac:dyDescent="0.3">
      <c r="A773" s="1" t="s">
        <v>790</v>
      </c>
      <c r="B773" s="1" t="s">
        <v>7</v>
      </c>
      <c r="C773" s="1">
        <v>185</v>
      </c>
      <c r="D773" s="1">
        <v>19</v>
      </c>
      <c r="E773" s="1" t="s">
        <v>10</v>
      </c>
      <c r="F773" s="1">
        <v>72410</v>
      </c>
      <c r="G773" s="1" t="str">
        <f t="shared" si="36"/>
        <v>Sufficient</v>
      </c>
      <c r="H773" s="1">
        <f t="shared" si="37"/>
        <v>13395850</v>
      </c>
      <c r="I773" s="1">
        <f t="shared" si="38"/>
        <v>14482</v>
      </c>
    </row>
    <row r="774" spans="1:9" x14ac:dyDescent="0.3">
      <c r="A774" s="1" t="s">
        <v>791</v>
      </c>
      <c r="B774" s="1" t="s">
        <v>20</v>
      </c>
      <c r="C774" s="1">
        <v>69</v>
      </c>
      <c r="D774" s="1">
        <v>45</v>
      </c>
      <c r="E774" s="1" t="s">
        <v>16</v>
      </c>
      <c r="F774" s="1">
        <v>33554</v>
      </c>
      <c r="G774" s="1" t="str">
        <f t="shared" si="36"/>
        <v>Sufficient</v>
      </c>
      <c r="H774" s="1">
        <f t="shared" si="37"/>
        <v>2315226</v>
      </c>
      <c r="I774" s="1">
        <f t="shared" si="38"/>
        <v>6710.8</v>
      </c>
    </row>
    <row r="775" spans="1:9" x14ac:dyDescent="0.3">
      <c r="A775" s="1" t="s">
        <v>792</v>
      </c>
      <c r="B775" s="1" t="s">
        <v>7</v>
      </c>
      <c r="C775" s="1">
        <v>91</v>
      </c>
      <c r="D775" s="1">
        <v>35</v>
      </c>
      <c r="E775" s="1" t="s">
        <v>8</v>
      </c>
      <c r="F775" s="1">
        <v>3933</v>
      </c>
      <c r="G775" s="1" t="str">
        <f t="shared" si="36"/>
        <v>Sufficient</v>
      </c>
      <c r="H775" s="1">
        <f t="shared" si="37"/>
        <v>357903</v>
      </c>
      <c r="I775" s="1">
        <f t="shared" si="38"/>
        <v>786.6</v>
      </c>
    </row>
    <row r="776" spans="1:9" x14ac:dyDescent="0.3">
      <c r="A776" s="1" t="s">
        <v>793</v>
      </c>
      <c r="B776" s="1" t="s">
        <v>15</v>
      </c>
      <c r="C776" s="1">
        <v>199</v>
      </c>
      <c r="D776" s="1">
        <v>20</v>
      </c>
      <c r="E776" s="1" t="s">
        <v>10</v>
      </c>
      <c r="F776" s="1">
        <v>33652</v>
      </c>
      <c r="G776" s="1" t="str">
        <f t="shared" si="36"/>
        <v>Sufficient</v>
      </c>
      <c r="H776" s="1">
        <f t="shared" si="37"/>
        <v>6696748</v>
      </c>
      <c r="I776" s="1">
        <f t="shared" si="38"/>
        <v>6730.4000000000005</v>
      </c>
    </row>
    <row r="777" spans="1:9" x14ac:dyDescent="0.3">
      <c r="A777" s="1" t="s">
        <v>794</v>
      </c>
      <c r="B777" s="1" t="s">
        <v>29</v>
      </c>
      <c r="C777" s="1">
        <v>94</v>
      </c>
      <c r="D777" s="1">
        <v>45</v>
      </c>
      <c r="E777" s="1" t="s">
        <v>10</v>
      </c>
      <c r="F777" s="1">
        <v>21089</v>
      </c>
      <c r="G777" s="1" t="str">
        <f t="shared" si="36"/>
        <v>Sufficient</v>
      </c>
      <c r="H777" s="1">
        <f t="shared" si="37"/>
        <v>1982366</v>
      </c>
      <c r="I777" s="1">
        <f t="shared" si="38"/>
        <v>4217.8</v>
      </c>
    </row>
    <row r="778" spans="1:9" x14ac:dyDescent="0.3">
      <c r="A778" s="1" t="s">
        <v>795</v>
      </c>
      <c r="B778" s="1" t="s">
        <v>7</v>
      </c>
      <c r="C778" s="1">
        <v>39</v>
      </c>
      <c r="D778" s="1">
        <v>14</v>
      </c>
      <c r="E778" s="1" t="s">
        <v>13</v>
      </c>
      <c r="F778" s="1">
        <v>24078</v>
      </c>
      <c r="G778" s="1" t="str">
        <f t="shared" si="36"/>
        <v>Sufficient</v>
      </c>
      <c r="H778" s="1">
        <f t="shared" si="37"/>
        <v>939042</v>
      </c>
      <c r="I778" s="1">
        <f t="shared" si="38"/>
        <v>4815.6000000000004</v>
      </c>
    </row>
    <row r="779" spans="1:9" x14ac:dyDescent="0.3">
      <c r="A779" s="1" t="s">
        <v>796</v>
      </c>
      <c r="B779" s="1" t="s">
        <v>18</v>
      </c>
      <c r="C779" s="1">
        <v>52</v>
      </c>
      <c r="D779" s="1">
        <v>27</v>
      </c>
      <c r="E779" s="1" t="s">
        <v>8</v>
      </c>
      <c r="F779" s="1">
        <v>43906</v>
      </c>
      <c r="G779" s="1" t="str">
        <f t="shared" si="36"/>
        <v>Sufficient</v>
      </c>
      <c r="H779" s="1">
        <f t="shared" si="37"/>
        <v>2283112</v>
      </c>
      <c r="I779" s="1">
        <f t="shared" si="38"/>
        <v>8781.2000000000007</v>
      </c>
    </row>
    <row r="780" spans="1:9" x14ac:dyDescent="0.3">
      <c r="A780" s="1" t="s">
        <v>797</v>
      </c>
      <c r="B780" s="1" t="s">
        <v>18</v>
      </c>
      <c r="C780" s="1">
        <v>42</v>
      </c>
      <c r="D780" s="1">
        <v>48</v>
      </c>
      <c r="E780" s="1" t="s">
        <v>13</v>
      </c>
      <c r="F780" s="1">
        <v>10675</v>
      </c>
      <c r="G780" s="1" t="str">
        <f t="shared" si="36"/>
        <v>Low Stock</v>
      </c>
      <c r="H780" s="1">
        <f t="shared" si="37"/>
        <v>448350</v>
      </c>
      <c r="I780" s="1">
        <f t="shared" si="38"/>
        <v>2135</v>
      </c>
    </row>
    <row r="781" spans="1:9" x14ac:dyDescent="0.3">
      <c r="A781" s="1" t="s">
        <v>798</v>
      </c>
      <c r="B781" s="1" t="s">
        <v>12</v>
      </c>
      <c r="C781" s="1">
        <v>105</v>
      </c>
      <c r="D781" s="1">
        <v>47</v>
      </c>
      <c r="E781" s="1" t="s">
        <v>10</v>
      </c>
      <c r="F781" s="1">
        <v>50458</v>
      </c>
      <c r="G781" s="1" t="str">
        <f t="shared" si="36"/>
        <v>Sufficient</v>
      </c>
      <c r="H781" s="1">
        <f t="shared" si="37"/>
        <v>5298090</v>
      </c>
      <c r="I781" s="1">
        <f t="shared" si="38"/>
        <v>10091.6</v>
      </c>
    </row>
    <row r="782" spans="1:9" x14ac:dyDescent="0.3">
      <c r="A782" s="1" t="s">
        <v>799</v>
      </c>
      <c r="B782" s="1" t="s">
        <v>20</v>
      </c>
      <c r="C782" s="1">
        <v>181</v>
      </c>
      <c r="D782" s="1">
        <v>21</v>
      </c>
      <c r="E782" s="1" t="s">
        <v>8</v>
      </c>
      <c r="F782" s="1">
        <v>54067</v>
      </c>
      <c r="G782" s="1" t="str">
        <f t="shared" si="36"/>
        <v>Sufficient</v>
      </c>
      <c r="H782" s="1">
        <f t="shared" si="37"/>
        <v>9786127</v>
      </c>
      <c r="I782" s="1">
        <f t="shared" si="38"/>
        <v>10813.400000000001</v>
      </c>
    </row>
    <row r="783" spans="1:9" x14ac:dyDescent="0.3">
      <c r="A783" s="1" t="s">
        <v>800</v>
      </c>
      <c r="B783" s="1" t="s">
        <v>20</v>
      </c>
      <c r="C783" s="1">
        <v>59</v>
      </c>
      <c r="D783" s="1">
        <v>25</v>
      </c>
      <c r="E783" s="1" t="s">
        <v>13</v>
      </c>
      <c r="F783" s="1">
        <v>49476</v>
      </c>
      <c r="G783" s="1" t="str">
        <f t="shared" si="36"/>
        <v>Sufficient</v>
      </c>
      <c r="H783" s="1">
        <f t="shared" si="37"/>
        <v>2919084</v>
      </c>
      <c r="I783" s="1">
        <f t="shared" si="38"/>
        <v>9895.2000000000007</v>
      </c>
    </row>
    <row r="784" spans="1:9" x14ac:dyDescent="0.3">
      <c r="A784" s="1" t="s">
        <v>801</v>
      </c>
      <c r="B784" s="1" t="s">
        <v>12</v>
      </c>
      <c r="C784" s="1">
        <v>115</v>
      </c>
      <c r="D784" s="1">
        <v>20</v>
      </c>
      <c r="E784" s="1" t="s">
        <v>13</v>
      </c>
      <c r="F784" s="1">
        <v>35655</v>
      </c>
      <c r="G784" s="1" t="str">
        <f t="shared" si="36"/>
        <v>Sufficient</v>
      </c>
      <c r="H784" s="1">
        <f t="shared" si="37"/>
        <v>4100325</v>
      </c>
      <c r="I784" s="1">
        <f t="shared" si="38"/>
        <v>7131</v>
      </c>
    </row>
    <row r="785" spans="1:9" x14ac:dyDescent="0.3">
      <c r="A785" s="1" t="s">
        <v>802</v>
      </c>
      <c r="B785" s="1" t="s">
        <v>12</v>
      </c>
      <c r="C785" s="1">
        <v>170</v>
      </c>
      <c r="D785" s="1">
        <v>23</v>
      </c>
      <c r="E785" s="1" t="s">
        <v>16</v>
      </c>
      <c r="F785" s="1">
        <v>39597</v>
      </c>
      <c r="G785" s="1" t="str">
        <f t="shared" si="36"/>
        <v>Sufficient</v>
      </c>
      <c r="H785" s="1">
        <f t="shared" si="37"/>
        <v>6731490</v>
      </c>
      <c r="I785" s="1">
        <f t="shared" si="38"/>
        <v>7919.4000000000005</v>
      </c>
    </row>
    <row r="786" spans="1:9" x14ac:dyDescent="0.3">
      <c r="A786" s="1" t="s">
        <v>803</v>
      </c>
      <c r="B786" s="1" t="s">
        <v>18</v>
      </c>
      <c r="C786" s="1">
        <v>71</v>
      </c>
      <c r="D786" s="1">
        <v>14</v>
      </c>
      <c r="E786" s="1" t="s">
        <v>8</v>
      </c>
      <c r="F786" s="1">
        <v>71274</v>
      </c>
      <c r="G786" s="1" t="str">
        <f t="shared" si="36"/>
        <v>Sufficient</v>
      </c>
      <c r="H786" s="1">
        <f t="shared" si="37"/>
        <v>5060454</v>
      </c>
      <c r="I786" s="1">
        <f t="shared" si="38"/>
        <v>14254.800000000001</v>
      </c>
    </row>
    <row r="787" spans="1:9" x14ac:dyDescent="0.3">
      <c r="A787" s="1" t="s">
        <v>804</v>
      </c>
      <c r="B787" s="1" t="s">
        <v>18</v>
      </c>
      <c r="C787" s="1">
        <v>65</v>
      </c>
      <c r="D787" s="1">
        <v>32</v>
      </c>
      <c r="E787" s="1" t="s">
        <v>26</v>
      </c>
      <c r="F787" s="1">
        <v>48568</v>
      </c>
      <c r="G787" s="1" t="str">
        <f t="shared" si="36"/>
        <v>Sufficient</v>
      </c>
      <c r="H787" s="1">
        <f t="shared" si="37"/>
        <v>3156920</v>
      </c>
      <c r="I787" s="1">
        <f t="shared" si="38"/>
        <v>9713.6</v>
      </c>
    </row>
    <row r="788" spans="1:9" x14ac:dyDescent="0.3">
      <c r="A788" s="1" t="s">
        <v>805</v>
      </c>
      <c r="B788" s="1" t="s">
        <v>15</v>
      </c>
      <c r="C788" s="1">
        <v>19</v>
      </c>
      <c r="D788" s="1">
        <v>39</v>
      </c>
      <c r="E788" s="1" t="s">
        <v>13</v>
      </c>
      <c r="F788" s="1">
        <v>52185</v>
      </c>
      <c r="G788" s="1" t="str">
        <f t="shared" si="36"/>
        <v>Low Stock</v>
      </c>
      <c r="H788" s="1">
        <f t="shared" si="37"/>
        <v>991515</v>
      </c>
      <c r="I788" s="1">
        <f t="shared" si="38"/>
        <v>10437</v>
      </c>
    </row>
    <row r="789" spans="1:9" x14ac:dyDescent="0.3">
      <c r="A789" s="1" t="s">
        <v>806</v>
      </c>
      <c r="B789" s="1" t="s">
        <v>20</v>
      </c>
      <c r="C789" s="1">
        <v>10</v>
      </c>
      <c r="D789" s="1">
        <v>31</v>
      </c>
      <c r="E789" s="1" t="s">
        <v>16</v>
      </c>
      <c r="F789" s="1">
        <v>28025</v>
      </c>
      <c r="G789" s="1" t="str">
        <f t="shared" si="36"/>
        <v>Low Stock</v>
      </c>
      <c r="H789" s="1">
        <f t="shared" si="37"/>
        <v>280250</v>
      </c>
      <c r="I789" s="1">
        <f t="shared" si="38"/>
        <v>5605</v>
      </c>
    </row>
    <row r="790" spans="1:9" x14ac:dyDescent="0.3">
      <c r="A790" s="1" t="s">
        <v>807</v>
      </c>
      <c r="B790" s="1" t="s">
        <v>20</v>
      </c>
      <c r="C790" s="1">
        <v>147</v>
      </c>
      <c r="D790" s="1">
        <v>17</v>
      </c>
      <c r="E790" s="1" t="s">
        <v>16</v>
      </c>
      <c r="F790" s="1">
        <v>49370</v>
      </c>
      <c r="G790" s="1" t="str">
        <f t="shared" si="36"/>
        <v>Sufficient</v>
      </c>
      <c r="H790" s="1">
        <f t="shared" si="37"/>
        <v>7257390</v>
      </c>
      <c r="I790" s="1">
        <f t="shared" si="38"/>
        <v>9874</v>
      </c>
    </row>
    <row r="791" spans="1:9" x14ac:dyDescent="0.3">
      <c r="A791" s="1" t="s">
        <v>808</v>
      </c>
      <c r="B791" s="1" t="s">
        <v>29</v>
      </c>
      <c r="C791" s="1">
        <v>16</v>
      </c>
      <c r="D791" s="1">
        <v>23</v>
      </c>
      <c r="E791" s="1" t="s">
        <v>10</v>
      </c>
      <c r="F791" s="1">
        <v>18670</v>
      </c>
      <c r="G791" s="1" t="str">
        <f t="shared" si="36"/>
        <v>Low Stock</v>
      </c>
      <c r="H791" s="1">
        <f t="shared" si="37"/>
        <v>298720</v>
      </c>
      <c r="I791" s="1">
        <f t="shared" si="38"/>
        <v>3734</v>
      </c>
    </row>
    <row r="792" spans="1:9" x14ac:dyDescent="0.3">
      <c r="A792" s="1" t="s">
        <v>809</v>
      </c>
      <c r="B792" s="1" t="s">
        <v>20</v>
      </c>
      <c r="C792" s="1">
        <v>152</v>
      </c>
      <c r="D792" s="1">
        <v>34</v>
      </c>
      <c r="E792" s="1" t="s">
        <v>16</v>
      </c>
      <c r="F792" s="1">
        <v>78157</v>
      </c>
      <c r="G792" s="1" t="str">
        <f t="shared" si="36"/>
        <v>Sufficient</v>
      </c>
      <c r="H792" s="1">
        <f t="shared" si="37"/>
        <v>11879864</v>
      </c>
      <c r="I792" s="1">
        <f t="shared" si="38"/>
        <v>15631.400000000001</v>
      </c>
    </row>
    <row r="793" spans="1:9" x14ac:dyDescent="0.3">
      <c r="A793" s="1" t="s">
        <v>810</v>
      </c>
      <c r="B793" s="1" t="s">
        <v>25</v>
      </c>
      <c r="C793" s="1">
        <v>196</v>
      </c>
      <c r="D793" s="1">
        <v>48</v>
      </c>
      <c r="E793" s="1" t="s">
        <v>26</v>
      </c>
      <c r="F793" s="1">
        <v>71030</v>
      </c>
      <c r="G793" s="1" t="str">
        <f t="shared" si="36"/>
        <v>Sufficient</v>
      </c>
      <c r="H793" s="1">
        <f t="shared" si="37"/>
        <v>13921880</v>
      </c>
      <c r="I793" s="1">
        <f t="shared" si="38"/>
        <v>14206</v>
      </c>
    </row>
    <row r="794" spans="1:9" x14ac:dyDescent="0.3">
      <c r="A794" s="1" t="s">
        <v>811</v>
      </c>
      <c r="B794" s="1" t="s">
        <v>12</v>
      </c>
      <c r="C794" s="1">
        <v>13</v>
      </c>
      <c r="D794" s="1">
        <v>22</v>
      </c>
      <c r="E794" s="1" t="s">
        <v>26</v>
      </c>
      <c r="F794" s="1">
        <v>35924</v>
      </c>
      <c r="G794" s="1" t="str">
        <f t="shared" si="36"/>
        <v>Low Stock</v>
      </c>
      <c r="H794" s="1">
        <f t="shared" si="37"/>
        <v>467012</v>
      </c>
      <c r="I794" s="1">
        <f t="shared" si="38"/>
        <v>7184.8</v>
      </c>
    </row>
    <row r="795" spans="1:9" x14ac:dyDescent="0.3">
      <c r="A795" s="1" t="s">
        <v>812</v>
      </c>
      <c r="B795" s="1" t="s">
        <v>25</v>
      </c>
      <c r="C795" s="1">
        <v>137</v>
      </c>
      <c r="D795" s="1">
        <v>48</v>
      </c>
      <c r="E795" s="1" t="s">
        <v>26</v>
      </c>
      <c r="F795" s="1">
        <v>11447</v>
      </c>
      <c r="G795" s="1" t="str">
        <f t="shared" si="36"/>
        <v>Sufficient</v>
      </c>
      <c r="H795" s="1">
        <f t="shared" si="37"/>
        <v>1568239</v>
      </c>
      <c r="I795" s="1">
        <f t="shared" si="38"/>
        <v>2289.4</v>
      </c>
    </row>
    <row r="796" spans="1:9" x14ac:dyDescent="0.3">
      <c r="A796" s="1" t="s">
        <v>813</v>
      </c>
      <c r="B796" s="1" t="s">
        <v>29</v>
      </c>
      <c r="C796" s="1">
        <v>166</v>
      </c>
      <c r="D796" s="1">
        <v>46</v>
      </c>
      <c r="E796" s="1" t="s">
        <v>13</v>
      </c>
      <c r="F796" s="1">
        <v>75152</v>
      </c>
      <c r="G796" s="1" t="str">
        <f t="shared" si="36"/>
        <v>Sufficient</v>
      </c>
      <c r="H796" s="1">
        <f t="shared" si="37"/>
        <v>12475232</v>
      </c>
      <c r="I796" s="1">
        <f t="shared" si="38"/>
        <v>15030.400000000001</v>
      </c>
    </row>
    <row r="797" spans="1:9" x14ac:dyDescent="0.3">
      <c r="A797" s="1" t="s">
        <v>814</v>
      </c>
      <c r="B797" s="1" t="s">
        <v>25</v>
      </c>
      <c r="C797" s="1">
        <v>27</v>
      </c>
      <c r="D797" s="1">
        <v>34</v>
      </c>
      <c r="E797" s="1" t="s">
        <v>10</v>
      </c>
      <c r="F797" s="1">
        <v>57714</v>
      </c>
      <c r="G797" s="1" t="str">
        <f t="shared" si="36"/>
        <v>Low Stock</v>
      </c>
      <c r="H797" s="1">
        <f t="shared" si="37"/>
        <v>1558278</v>
      </c>
      <c r="I797" s="1">
        <f t="shared" si="38"/>
        <v>11542.800000000001</v>
      </c>
    </row>
    <row r="798" spans="1:9" x14ac:dyDescent="0.3">
      <c r="A798" s="1" t="s">
        <v>815</v>
      </c>
      <c r="B798" s="1" t="s">
        <v>12</v>
      </c>
      <c r="C798" s="1">
        <v>104</v>
      </c>
      <c r="D798" s="1">
        <v>49</v>
      </c>
      <c r="E798" s="1" t="s">
        <v>16</v>
      </c>
      <c r="F798" s="1">
        <v>20063</v>
      </c>
      <c r="G798" s="1" t="str">
        <f t="shared" si="36"/>
        <v>Sufficient</v>
      </c>
      <c r="H798" s="1">
        <f t="shared" si="37"/>
        <v>2086552</v>
      </c>
      <c r="I798" s="1">
        <f t="shared" si="38"/>
        <v>4012.6000000000004</v>
      </c>
    </row>
    <row r="799" spans="1:9" x14ac:dyDescent="0.3">
      <c r="A799" s="1" t="s">
        <v>816</v>
      </c>
      <c r="B799" s="1" t="s">
        <v>18</v>
      </c>
      <c r="C799" s="1">
        <v>83</v>
      </c>
      <c r="D799" s="1">
        <v>43</v>
      </c>
      <c r="E799" s="1" t="s">
        <v>10</v>
      </c>
      <c r="F799" s="1">
        <v>15970</v>
      </c>
      <c r="G799" s="1" t="str">
        <f t="shared" si="36"/>
        <v>Sufficient</v>
      </c>
      <c r="H799" s="1">
        <f t="shared" si="37"/>
        <v>1325510</v>
      </c>
      <c r="I799" s="1">
        <f t="shared" si="38"/>
        <v>3194</v>
      </c>
    </row>
    <row r="800" spans="1:9" x14ac:dyDescent="0.3">
      <c r="A800" s="1" t="s">
        <v>817</v>
      </c>
      <c r="B800" s="1" t="s">
        <v>7</v>
      </c>
      <c r="C800" s="1">
        <v>111</v>
      </c>
      <c r="D800" s="1">
        <v>41</v>
      </c>
      <c r="E800" s="1" t="s">
        <v>13</v>
      </c>
      <c r="F800" s="1">
        <v>70127</v>
      </c>
      <c r="G800" s="1" t="str">
        <f t="shared" si="36"/>
        <v>Sufficient</v>
      </c>
      <c r="H800" s="1">
        <f t="shared" si="37"/>
        <v>7784097</v>
      </c>
      <c r="I800" s="1">
        <f t="shared" si="38"/>
        <v>14025.400000000001</v>
      </c>
    </row>
    <row r="801" spans="1:9" x14ac:dyDescent="0.3">
      <c r="A801" s="1" t="s">
        <v>818</v>
      </c>
      <c r="B801" s="1" t="s">
        <v>23</v>
      </c>
      <c r="C801" s="1">
        <v>78</v>
      </c>
      <c r="D801" s="1">
        <v>26</v>
      </c>
      <c r="E801" s="1" t="s">
        <v>10</v>
      </c>
      <c r="F801" s="1">
        <v>72543</v>
      </c>
      <c r="G801" s="1" t="str">
        <f t="shared" si="36"/>
        <v>Sufficient</v>
      </c>
      <c r="H801" s="1">
        <f t="shared" si="37"/>
        <v>5658354</v>
      </c>
      <c r="I801" s="1">
        <f t="shared" si="38"/>
        <v>14508.6</v>
      </c>
    </row>
    <row r="802" spans="1:9" x14ac:dyDescent="0.3">
      <c r="A802" s="1" t="s">
        <v>819</v>
      </c>
      <c r="B802" s="1" t="s">
        <v>25</v>
      </c>
      <c r="C802" s="1">
        <v>57</v>
      </c>
      <c r="D802" s="1">
        <v>26</v>
      </c>
      <c r="E802" s="1" t="s">
        <v>10</v>
      </c>
      <c r="F802" s="1">
        <v>75372</v>
      </c>
      <c r="G802" s="1" t="str">
        <f t="shared" si="36"/>
        <v>Sufficient</v>
      </c>
      <c r="H802" s="1">
        <f t="shared" si="37"/>
        <v>4296204</v>
      </c>
      <c r="I802" s="1">
        <f t="shared" si="38"/>
        <v>15074.400000000001</v>
      </c>
    </row>
    <row r="803" spans="1:9" x14ac:dyDescent="0.3">
      <c r="A803" s="1" t="s">
        <v>820</v>
      </c>
      <c r="B803" s="1" t="s">
        <v>23</v>
      </c>
      <c r="C803" s="1">
        <v>163</v>
      </c>
      <c r="D803" s="1">
        <v>49</v>
      </c>
      <c r="E803" s="1" t="s">
        <v>13</v>
      </c>
      <c r="F803" s="1">
        <v>14360</v>
      </c>
      <c r="G803" s="1" t="str">
        <f t="shared" si="36"/>
        <v>Sufficient</v>
      </c>
      <c r="H803" s="1">
        <f t="shared" si="37"/>
        <v>2340680</v>
      </c>
      <c r="I803" s="1">
        <f t="shared" si="38"/>
        <v>2872</v>
      </c>
    </row>
    <row r="804" spans="1:9" x14ac:dyDescent="0.3">
      <c r="A804" s="1" t="s">
        <v>821</v>
      </c>
      <c r="B804" s="1" t="s">
        <v>7</v>
      </c>
      <c r="C804" s="1">
        <v>193</v>
      </c>
      <c r="D804" s="1">
        <v>44</v>
      </c>
      <c r="E804" s="1" t="s">
        <v>8</v>
      </c>
      <c r="F804" s="1">
        <v>34631</v>
      </c>
      <c r="G804" s="1" t="str">
        <f t="shared" si="36"/>
        <v>Sufficient</v>
      </c>
      <c r="H804" s="1">
        <f t="shared" si="37"/>
        <v>6683783</v>
      </c>
      <c r="I804" s="1">
        <f t="shared" si="38"/>
        <v>6926.2000000000007</v>
      </c>
    </row>
    <row r="805" spans="1:9" x14ac:dyDescent="0.3">
      <c r="A805" s="1" t="s">
        <v>822</v>
      </c>
      <c r="B805" s="1" t="s">
        <v>20</v>
      </c>
      <c r="C805" s="1">
        <v>136</v>
      </c>
      <c r="D805" s="1">
        <v>39</v>
      </c>
      <c r="E805" s="1" t="s">
        <v>26</v>
      </c>
      <c r="F805" s="1">
        <v>47577</v>
      </c>
      <c r="G805" s="1" t="str">
        <f t="shared" si="36"/>
        <v>Sufficient</v>
      </c>
      <c r="H805" s="1">
        <f t="shared" si="37"/>
        <v>6470472</v>
      </c>
      <c r="I805" s="1">
        <f t="shared" si="38"/>
        <v>9515.4</v>
      </c>
    </row>
    <row r="806" spans="1:9" x14ac:dyDescent="0.3">
      <c r="A806" s="1" t="s">
        <v>823</v>
      </c>
      <c r="B806" s="1" t="s">
        <v>12</v>
      </c>
      <c r="C806" s="1">
        <v>148</v>
      </c>
      <c r="D806" s="1">
        <v>35</v>
      </c>
      <c r="E806" s="1" t="s">
        <v>26</v>
      </c>
      <c r="F806" s="1">
        <v>63027</v>
      </c>
      <c r="G806" s="1" t="str">
        <f t="shared" si="36"/>
        <v>Sufficient</v>
      </c>
      <c r="H806" s="1">
        <f t="shared" si="37"/>
        <v>9327996</v>
      </c>
      <c r="I806" s="1">
        <f t="shared" si="38"/>
        <v>12605.400000000001</v>
      </c>
    </row>
    <row r="807" spans="1:9" x14ac:dyDescent="0.3">
      <c r="A807" s="1" t="s">
        <v>824</v>
      </c>
      <c r="B807" s="1" t="s">
        <v>20</v>
      </c>
      <c r="C807" s="1">
        <v>169</v>
      </c>
      <c r="D807" s="1">
        <v>49</v>
      </c>
      <c r="E807" s="1" t="s">
        <v>8</v>
      </c>
      <c r="F807" s="1">
        <v>60552</v>
      </c>
      <c r="G807" s="1" t="str">
        <f t="shared" si="36"/>
        <v>Sufficient</v>
      </c>
      <c r="H807" s="1">
        <f t="shared" si="37"/>
        <v>10233288</v>
      </c>
      <c r="I807" s="1">
        <f t="shared" si="38"/>
        <v>12110.400000000001</v>
      </c>
    </row>
    <row r="808" spans="1:9" x14ac:dyDescent="0.3">
      <c r="A808" s="1" t="s">
        <v>825</v>
      </c>
      <c r="B808" s="1" t="s">
        <v>18</v>
      </c>
      <c r="C808" s="1">
        <v>184</v>
      </c>
      <c r="D808" s="1">
        <v>15</v>
      </c>
      <c r="E808" s="1" t="s">
        <v>10</v>
      </c>
      <c r="F808" s="1">
        <v>65394</v>
      </c>
      <c r="G808" s="1" t="str">
        <f t="shared" si="36"/>
        <v>Sufficient</v>
      </c>
      <c r="H808" s="1">
        <f t="shared" si="37"/>
        <v>12032496</v>
      </c>
      <c r="I808" s="1">
        <f t="shared" si="38"/>
        <v>13078.800000000001</v>
      </c>
    </row>
    <row r="809" spans="1:9" x14ac:dyDescent="0.3">
      <c r="A809" s="1" t="s">
        <v>826</v>
      </c>
      <c r="B809" s="1" t="s">
        <v>18</v>
      </c>
      <c r="C809" s="1">
        <v>63</v>
      </c>
      <c r="D809" s="1">
        <v>30</v>
      </c>
      <c r="E809" s="1" t="s">
        <v>13</v>
      </c>
      <c r="F809" s="1">
        <v>56085</v>
      </c>
      <c r="G809" s="1" t="str">
        <f t="shared" si="36"/>
        <v>Sufficient</v>
      </c>
      <c r="H809" s="1">
        <f t="shared" si="37"/>
        <v>3533355</v>
      </c>
      <c r="I809" s="1">
        <f t="shared" si="38"/>
        <v>11217</v>
      </c>
    </row>
    <row r="810" spans="1:9" x14ac:dyDescent="0.3">
      <c r="A810" s="1" t="s">
        <v>827</v>
      </c>
      <c r="B810" s="1" t="s">
        <v>25</v>
      </c>
      <c r="C810" s="1">
        <v>58</v>
      </c>
      <c r="D810" s="1">
        <v>44</v>
      </c>
      <c r="E810" s="1" t="s">
        <v>10</v>
      </c>
      <c r="F810" s="1">
        <v>68570</v>
      </c>
      <c r="G810" s="1" t="str">
        <f t="shared" si="36"/>
        <v>Sufficient</v>
      </c>
      <c r="H810" s="1">
        <f t="shared" si="37"/>
        <v>3977060</v>
      </c>
      <c r="I810" s="1">
        <f t="shared" si="38"/>
        <v>13714</v>
      </c>
    </row>
    <row r="811" spans="1:9" x14ac:dyDescent="0.3">
      <c r="A811" s="1" t="s">
        <v>828</v>
      </c>
      <c r="B811" s="1" t="s">
        <v>12</v>
      </c>
      <c r="C811" s="1">
        <v>43</v>
      </c>
      <c r="D811" s="1">
        <v>19</v>
      </c>
      <c r="E811" s="1" t="s">
        <v>16</v>
      </c>
      <c r="F811" s="1">
        <v>65705</v>
      </c>
      <c r="G811" s="1" t="str">
        <f t="shared" si="36"/>
        <v>Sufficient</v>
      </c>
      <c r="H811" s="1">
        <f t="shared" si="37"/>
        <v>2825315</v>
      </c>
      <c r="I811" s="1">
        <f t="shared" si="38"/>
        <v>13141</v>
      </c>
    </row>
    <row r="812" spans="1:9" x14ac:dyDescent="0.3">
      <c r="A812" s="1" t="s">
        <v>829</v>
      </c>
      <c r="B812" s="1" t="s">
        <v>18</v>
      </c>
      <c r="C812" s="1">
        <v>126</v>
      </c>
      <c r="D812" s="1">
        <v>13</v>
      </c>
      <c r="E812" s="1" t="s">
        <v>16</v>
      </c>
      <c r="F812" s="1">
        <v>17723</v>
      </c>
      <c r="G812" s="1" t="str">
        <f t="shared" si="36"/>
        <v>Sufficient</v>
      </c>
      <c r="H812" s="1">
        <f t="shared" si="37"/>
        <v>2233098</v>
      </c>
      <c r="I812" s="1">
        <f t="shared" si="38"/>
        <v>3544.6000000000004</v>
      </c>
    </row>
    <row r="813" spans="1:9" x14ac:dyDescent="0.3">
      <c r="A813" s="1" t="s">
        <v>830</v>
      </c>
      <c r="B813" s="1" t="s">
        <v>12</v>
      </c>
      <c r="C813" s="1">
        <v>53</v>
      </c>
      <c r="D813" s="1">
        <v>38</v>
      </c>
      <c r="E813" s="1" t="s">
        <v>10</v>
      </c>
      <c r="F813" s="1">
        <v>32429</v>
      </c>
      <c r="G813" s="1" t="str">
        <f t="shared" si="36"/>
        <v>Sufficient</v>
      </c>
      <c r="H813" s="1">
        <f t="shared" si="37"/>
        <v>1718737</v>
      </c>
      <c r="I813" s="1">
        <f t="shared" si="38"/>
        <v>6485.8</v>
      </c>
    </row>
    <row r="814" spans="1:9" x14ac:dyDescent="0.3">
      <c r="A814" s="1" t="s">
        <v>831</v>
      </c>
      <c r="B814" s="1" t="s">
        <v>15</v>
      </c>
      <c r="C814" s="1">
        <v>167</v>
      </c>
      <c r="D814" s="1">
        <v>34</v>
      </c>
      <c r="E814" s="1" t="s">
        <v>10</v>
      </c>
      <c r="F814" s="1">
        <v>53366</v>
      </c>
      <c r="G814" s="1" t="str">
        <f t="shared" si="36"/>
        <v>Sufficient</v>
      </c>
      <c r="H814" s="1">
        <f t="shared" si="37"/>
        <v>8912122</v>
      </c>
      <c r="I814" s="1">
        <f t="shared" si="38"/>
        <v>10673.2</v>
      </c>
    </row>
    <row r="815" spans="1:9" x14ac:dyDescent="0.3">
      <c r="A815" s="1" t="s">
        <v>832</v>
      </c>
      <c r="B815" s="1" t="s">
        <v>29</v>
      </c>
      <c r="C815" s="1">
        <v>34</v>
      </c>
      <c r="D815" s="1">
        <v>46</v>
      </c>
      <c r="E815" s="1" t="s">
        <v>8</v>
      </c>
      <c r="F815" s="1">
        <v>10003</v>
      </c>
      <c r="G815" s="1" t="str">
        <f t="shared" si="36"/>
        <v>Low Stock</v>
      </c>
      <c r="H815" s="1">
        <f t="shared" si="37"/>
        <v>340102</v>
      </c>
      <c r="I815" s="1">
        <f t="shared" si="38"/>
        <v>2000.6000000000001</v>
      </c>
    </row>
    <row r="816" spans="1:9" x14ac:dyDescent="0.3">
      <c r="A816" s="1" t="s">
        <v>833</v>
      </c>
      <c r="B816" s="1" t="s">
        <v>29</v>
      </c>
      <c r="C816" s="1">
        <v>74</v>
      </c>
      <c r="D816" s="1">
        <v>13</v>
      </c>
      <c r="E816" s="1" t="s">
        <v>16</v>
      </c>
      <c r="F816" s="1">
        <v>33927</v>
      </c>
      <c r="G816" s="1" t="str">
        <f t="shared" si="36"/>
        <v>Sufficient</v>
      </c>
      <c r="H816" s="1">
        <f t="shared" si="37"/>
        <v>2510598</v>
      </c>
      <c r="I816" s="1">
        <f t="shared" si="38"/>
        <v>6785.4000000000005</v>
      </c>
    </row>
    <row r="817" spans="1:9" x14ac:dyDescent="0.3">
      <c r="A817" s="1" t="s">
        <v>834</v>
      </c>
      <c r="B817" s="1" t="s">
        <v>23</v>
      </c>
      <c r="C817" s="1">
        <v>115</v>
      </c>
      <c r="D817" s="1">
        <v>40</v>
      </c>
      <c r="E817" s="1" t="s">
        <v>13</v>
      </c>
      <c r="F817" s="1">
        <v>4261</v>
      </c>
      <c r="G817" s="1" t="str">
        <f t="shared" si="36"/>
        <v>Sufficient</v>
      </c>
      <c r="H817" s="1">
        <f t="shared" si="37"/>
        <v>490015</v>
      </c>
      <c r="I817" s="1">
        <f t="shared" si="38"/>
        <v>852.2</v>
      </c>
    </row>
    <row r="818" spans="1:9" x14ac:dyDescent="0.3">
      <c r="A818" s="1" t="s">
        <v>835</v>
      </c>
      <c r="B818" s="1" t="s">
        <v>12</v>
      </c>
      <c r="C818" s="1">
        <v>43</v>
      </c>
      <c r="D818" s="1">
        <v>32</v>
      </c>
      <c r="E818" s="1" t="s">
        <v>8</v>
      </c>
      <c r="F818" s="1">
        <v>588</v>
      </c>
      <c r="G818" s="1" t="str">
        <f t="shared" si="36"/>
        <v>Sufficient</v>
      </c>
      <c r="H818" s="1">
        <f t="shared" si="37"/>
        <v>25284</v>
      </c>
      <c r="I818" s="1">
        <f t="shared" si="38"/>
        <v>117.60000000000001</v>
      </c>
    </row>
    <row r="819" spans="1:9" x14ac:dyDescent="0.3">
      <c r="A819" s="1" t="s">
        <v>836</v>
      </c>
      <c r="B819" s="1" t="s">
        <v>12</v>
      </c>
      <c r="C819" s="1">
        <v>140</v>
      </c>
      <c r="D819" s="1">
        <v>13</v>
      </c>
      <c r="E819" s="1" t="s">
        <v>16</v>
      </c>
      <c r="F819" s="1">
        <v>30930</v>
      </c>
      <c r="G819" s="1" t="str">
        <f t="shared" si="36"/>
        <v>Sufficient</v>
      </c>
      <c r="H819" s="1">
        <f t="shared" si="37"/>
        <v>4330200</v>
      </c>
      <c r="I819" s="1">
        <f t="shared" si="38"/>
        <v>6186</v>
      </c>
    </row>
    <row r="820" spans="1:9" x14ac:dyDescent="0.3">
      <c r="A820" s="1" t="s">
        <v>837</v>
      </c>
      <c r="B820" s="1" t="s">
        <v>15</v>
      </c>
      <c r="C820" s="1">
        <v>68</v>
      </c>
      <c r="D820" s="1">
        <v>14</v>
      </c>
      <c r="E820" s="1" t="s">
        <v>8</v>
      </c>
      <c r="F820" s="1">
        <v>2944</v>
      </c>
      <c r="G820" s="1" t="str">
        <f t="shared" si="36"/>
        <v>Sufficient</v>
      </c>
      <c r="H820" s="1">
        <f t="shared" si="37"/>
        <v>200192</v>
      </c>
      <c r="I820" s="1">
        <f t="shared" si="38"/>
        <v>588.80000000000007</v>
      </c>
    </row>
    <row r="821" spans="1:9" x14ac:dyDescent="0.3">
      <c r="A821" s="1" t="s">
        <v>838</v>
      </c>
      <c r="B821" s="1" t="s">
        <v>29</v>
      </c>
      <c r="C821" s="1">
        <v>174</v>
      </c>
      <c r="D821" s="1">
        <v>40</v>
      </c>
      <c r="E821" s="1" t="s">
        <v>16</v>
      </c>
      <c r="F821" s="1">
        <v>44014</v>
      </c>
      <c r="G821" s="1" t="str">
        <f t="shared" si="36"/>
        <v>Sufficient</v>
      </c>
      <c r="H821" s="1">
        <f t="shared" si="37"/>
        <v>7658436</v>
      </c>
      <c r="I821" s="1">
        <f t="shared" si="38"/>
        <v>8802.8000000000011</v>
      </c>
    </row>
    <row r="822" spans="1:9" x14ac:dyDescent="0.3">
      <c r="A822" s="1" t="s">
        <v>839</v>
      </c>
      <c r="B822" s="1" t="s">
        <v>18</v>
      </c>
      <c r="C822" s="1">
        <v>107</v>
      </c>
      <c r="D822" s="1">
        <v>11</v>
      </c>
      <c r="E822" s="1" t="s">
        <v>8</v>
      </c>
      <c r="F822" s="1">
        <v>5481</v>
      </c>
      <c r="G822" s="1" t="str">
        <f t="shared" si="36"/>
        <v>Sufficient</v>
      </c>
      <c r="H822" s="1">
        <f t="shared" si="37"/>
        <v>586467</v>
      </c>
      <c r="I822" s="1">
        <f t="shared" si="38"/>
        <v>1096.2</v>
      </c>
    </row>
    <row r="823" spans="1:9" x14ac:dyDescent="0.3">
      <c r="A823" s="1" t="s">
        <v>840</v>
      </c>
      <c r="B823" s="1" t="s">
        <v>25</v>
      </c>
      <c r="C823" s="1">
        <v>15</v>
      </c>
      <c r="D823" s="1">
        <v>50</v>
      </c>
      <c r="E823" s="1" t="s">
        <v>13</v>
      </c>
      <c r="F823" s="1">
        <v>36307</v>
      </c>
      <c r="G823" s="1" t="str">
        <f t="shared" si="36"/>
        <v>Low Stock</v>
      </c>
      <c r="H823" s="1">
        <f t="shared" si="37"/>
        <v>544605</v>
      </c>
      <c r="I823" s="1">
        <f t="shared" si="38"/>
        <v>7261.4000000000005</v>
      </c>
    </row>
    <row r="824" spans="1:9" x14ac:dyDescent="0.3">
      <c r="A824" s="1" t="s">
        <v>841</v>
      </c>
      <c r="B824" s="1" t="s">
        <v>29</v>
      </c>
      <c r="C824" s="1">
        <v>34</v>
      </c>
      <c r="D824" s="1">
        <v>15</v>
      </c>
      <c r="E824" s="1" t="s">
        <v>26</v>
      </c>
      <c r="F824" s="1">
        <v>48120</v>
      </c>
      <c r="G824" s="1" t="str">
        <f t="shared" si="36"/>
        <v>Sufficient</v>
      </c>
      <c r="H824" s="1">
        <f t="shared" si="37"/>
        <v>1636080</v>
      </c>
      <c r="I824" s="1">
        <f t="shared" si="38"/>
        <v>9624</v>
      </c>
    </row>
    <row r="825" spans="1:9" x14ac:dyDescent="0.3">
      <c r="A825" s="1" t="s">
        <v>842</v>
      </c>
      <c r="B825" s="1" t="s">
        <v>23</v>
      </c>
      <c r="C825" s="1">
        <v>0</v>
      </c>
      <c r="D825" s="1">
        <v>35</v>
      </c>
      <c r="E825" s="1" t="s">
        <v>10</v>
      </c>
      <c r="F825" s="1">
        <v>75092</v>
      </c>
      <c r="G825" s="1" t="str">
        <f t="shared" si="36"/>
        <v>Pending</v>
      </c>
      <c r="H825" s="1">
        <f t="shared" si="37"/>
        <v>0</v>
      </c>
      <c r="I825" s="1">
        <f t="shared" si="38"/>
        <v>15018.400000000001</v>
      </c>
    </row>
    <row r="826" spans="1:9" x14ac:dyDescent="0.3">
      <c r="A826" s="1" t="s">
        <v>843</v>
      </c>
      <c r="B826" s="1" t="s">
        <v>7</v>
      </c>
      <c r="C826" s="1">
        <v>15</v>
      </c>
      <c r="D826" s="1">
        <v>28</v>
      </c>
      <c r="E826" s="1" t="s">
        <v>16</v>
      </c>
      <c r="F826" s="1">
        <v>25051</v>
      </c>
      <c r="G826" s="1" t="str">
        <f t="shared" si="36"/>
        <v>Low Stock</v>
      </c>
      <c r="H826" s="1">
        <f t="shared" si="37"/>
        <v>375765</v>
      </c>
      <c r="I826" s="1">
        <f t="shared" si="38"/>
        <v>5010.2000000000007</v>
      </c>
    </row>
    <row r="827" spans="1:9" x14ac:dyDescent="0.3">
      <c r="A827" s="1" t="s">
        <v>844</v>
      </c>
      <c r="B827" s="1" t="s">
        <v>20</v>
      </c>
      <c r="C827" s="1">
        <v>50</v>
      </c>
      <c r="D827" s="1">
        <v>33</v>
      </c>
      <c r="E827" s="1" t="s">
        <v>10</v>
      </c>
      <c r="F827" s="1">
        <v>47227</v>
      </c>
      <c r="G827" s="1" t="str">
        <f t="shared" si="36"/>
        <v>Sufficient</v>
      </c>
      <c r="H827" s="1">
        <f t="shared" si="37"/>
        <v>2361350</v>
      </c>
      <c r="I827" s="1">
        <f t="shared" si="38"/>
        <v>9445.4</v>
      </c>
    </row>
    <row r="828" spans="1:9" x14ac:dyDescent="0.3">
      <c r="A828" s="1" t="s">
        <v>845</v>
      </c>
      <c r="B828" s="1" t="s">
        <v>12</v>
      </c>
      <c r="C828" s="1">
        <v>48</v>
      </c>
      <c r="D828" s="1">
        <v>26</v>
      </c>
      <c r="E828" s="1" t="s">
        <v>26</v>
      </c>
      <c r="F828" s="1">
        <v>70825</v>
      </c>
      <c r="G828" s="1" t="str">
        <f t="shared" si="36"/>
        <v>Sufficient</v>
      </c>
      <c r="H828" s="1">
        <f t="shared" si="37"/>
        <v>3399600</v>
      </c>
      <c r="I828" s="1">
        <f t="shared" si="38"/>
        <v>14165</v>
      </c>
    </row>
    <row r="829" spans="1:9" x14ac:dyDescent="0.3">
      <c r="A829" s="1" t="s">
        <v>846</v>
      </c>
      <c r="B829" s="1" t="s">
        <v>23</v>
      </c>
      <c r="C829" s="1">
        <v>87</v>
      </c>
      <c r="D829" s="1">
        <v>40</v>
      </c>
      <c r="E829" s="1" t="s">
        <v>8</v>
      </c>
      <c r="F829" s="1">
        <v>2440</v>
      </c>
      <c r="G829" s="1" t="str">
        <f t="shared" si="36"/>
        <v>Sufficient</v>
      </c>
      <c r="H829" s="1">
        <f t="shared" si="37"/>
        <v>212280</v>
      </c>
      <c r="I829" s="1">
        <f t="shared" si="38"/>
        <v>488</v>
      </c>
    </row>
    <row r="830" spans="1:9" x14ac:dyDescent="0.3">
      <c r="A830" s="1" t="s">
        <v>847</v>
      </c>
      <c r="B830" s="1" t="s">
        <v>25</v>
      </c>
      <c r="C830" s="1">
        <v>94</v>
      </c>
      <c r="D830" s="1">
        <v>38</v>
      </c>
      <c r="E830" s="1" t="s">
        <v>10</v>
      </c>
      <c r="F830" s="1">
        <v>23678</v>
      </c>
      <c r="G830" s="1" t="str">
        <f t="shared" si="36"/>
        <v>Sufficient</v>
      </c>
      <c r="H830" s="1">
        <f t="shared" si="37"/>
        <v>2225732</v>
      </c>
      <c r="I830" s="1">
        <f t="shared" si="38"/>
        <v>4735.6000000000004</v>
      </c>
    </row>
    <row r="831" spans="1:9" x14ac:dyDescent="0.3">
      <c r="A831" s="1" t="s">
        <v>848</v>
      </c>
      <c r="B831" s="1" t="s">
        <v>29</v>
      </c>
      <c r="C831" s="1">
        <v>35</v>
      </c>
      <c r="D831" s="1">
        <v>36</v>
      </c>
      <c r="E831" s="1" t="s">
        <v>10</v>
      </c>
      <c r="F831" s="1">
        <v>74367</v>
      </c>
      <c r="G831" s="1" t="str">
        <f t="shared" si="36"/>
        <v>Low Stock</v>
      </c>
      <c r="H831" s="1">
        <f t="shared" si="37"/>
        <v>2602845</v>
      </c>
      <c r="I831" s="1">
        <f t="shared" si="38"/>
        <v>14873.400000000001</v>
      </c>
    </row>
    <row r="832" spans="1:9" x14ac:dyDescent="0.3">
      <c r="A832" s="1" t="s">
        <v>849</v>
      </c>
      <c r="B832" s="1" t="s">
        <v>7</v>
      </c>
      <c r="C832" s="1">
        <v>52</v>
      </c>
      <c r="D832" s="1">
        <v>18</v>
      </c>
      <c r="E832" s="1" t="s">
        <v>26</v>
      </c>
      <c r="F832" s="1">
        <v>78759</v>
      </c>
      <c r="G832" s="1" t="str">
        <f t="shared" si="36"/>
        <v>Sufficient</v>
      </c>
      <c r="H832" s="1">
        <f t="shared" si="37"/>
        <v>4095468</v>
      </c>
      <c r="I832" s="1">
        <f t="shared" si="38"/>
        <v>15751.800000000001</v>
      </c>
    </row>
    <row r="833" spans="1:9" x14ac:dyDescent="0.3">
      <c r="A833" s="1" t="s">
        <v>850</v>
      </c>
      <c r="B833" s="1" t="s">
        <v>18</v>
      </c>
      <c r="C833" s="1">
        <v>105</v>
      </c>
      <c r="D833" s="1">
        <v>32</v>
      </c>
      <c r="E833" s="1" t="s">
        <v>16</v>
      </c>
      <c r="F833" s="1">
        <v>56967</v>
      </c>
      <c r="G833" s="1" t="str">
        <f t="shared" si="36"/>
        <v>Sufficient</v>
      </c>
      <c r="H833" s="1">
        <f t="shared" si="37"/>
        <v>5981535</v>
      </c>
      <c r="I833" s="1">
        <f t="shared" si="38"/>
        <v>11393.400000000001</v>
      </c>
    </row>
    <row r="834" spans="1:9" x14ac:dyDescent="0.3">
      <c r="A834" s="1" t="s">
        <v>851</v>
      </c>
      <c r="B834" s="1" t="s">
        <v>18</v>
      </c>
      <c r="C834" s="1">
        <v>69</v>
      </c>
      <c r="D834" s="1">
        <v>43</v>
      </c>
      <c r="E834" s="1" t="s">
        <v>16</v>
      </c>
      <c r="F834" s="1">
        <v>54496</v>
      </c>
      <c r="G834" s="1" t="str">
        <f t="shared" si="36"/>
        <v>Sufficient</v>
      </c>
      <c r="H834" s="1">
        <f t="shared" si="37"/>
        <v>3760224</v>
      </c>
      <c r="I834" s="1">
        <f t="shared" si="38"/>
        <v>10899.2</v>
      </c>
    </row>
    <row r="835" spans="1:9" x14ac:dyDescent="0.3">
      <c r="A835" s="1" t="s">
        <v>852</v>
      </c>
      <c r="B835" s="1" t="s">
        <v>12</v>
      </c>
      <c r="C835" s="1">
        <v>84</v>
      </c>
      <c r="D835" s="1">
        <v>14</v>
      </c>
      <c r="E835" s="1" t="s">
        <v>8</v>
      </c>
      <c r="F835" s="1">
        <v>21495</v>
      </c>
      <c r="G835" s="1" t="str">
        <f t="shared" ref="G835:G898" si="39">IF(C835=0,"Pending",IF(C835&lt;=D835,"Low Stock", "Sufficient"))</f>
        <v>Sufficient</v>
      </c>
      <c r="H835" s="1">
        <f t="shared" ref="H835:H898" si="40">C835*F835</f>
        <v>1805580</v>
      </c>
      <c r="I835" s="1">
        <f t="shared" ref="I835:I898" si="41">F835*0.2</f>
        <v>4299</v>
      </c>
    </row>
    <row r="836" spans="1:9" x14ac:dyDescent="0.3">
      <c r="A836" s="1" t="s">
        <v>853</v>
      </c>
      <c r="B836" s="1" t="s">
        <v>25</v>
      </c>
      <c r="C836" s="1">
        <v>75</v>
      </c>
      <c r="D836" s="1">
        <v>43</v>
      </c>
      <c r="E836" s="1" t="s">
        <v>13</v>
      </c>
      <c r="F836" s="1">
        <v>21018</v>
      </c>
      <c r="G836" s="1" t="str">
        <f t="shared" si="39"/>
        <v>Sufficient</v>
      </c>
      <c r="H836" s="1">
        <f t="shared" si="40"/>
        <v>1576350</v>
      </c>
      <c r="I836" s="1">
        <f t="shared" si="41"/>
        <v>4203.6000000000004</v>
      </c>
    </row>
    <row r="837" spans="1:9" x14ac:dyDescent="0.3">
      <c r="A837" s="1" t="s">
        <v>854</v>
      </c>
      <c r="B837" s="1" t="s">
        <v>20</v>
      </c>
      <c r="C837" s="1">
        <v>162</v>
      </c>
      <c r="D837" s="1">
        <v>22</v>
      </c>
      <c r="E837" s="1" t="s">
        <v>16</v>
      </c>
      <c r="F837" s="1">
        <v>21293</v>
      </c>
      <c r="G837" s="1" t="str">
        <f t="shared" si="39"/>
        <v>Sufficient</v>
      </c>
      <c r="H837" s="1">
        <f t="shared" si="40"/>
        <v>3449466</v>
      </c>
      <c r="I837" s="1">
        <f t="shared" si="41"/>
        <v>4258.6000000000004</v>
      </c>
    </row>
    <row r="838" spans="1:9" x14ac:dyDescent="0.3">
      <c r="A838" s="1" t="s">
        <v>855</v>
      </c>
      <c r="B838" s="1" t="s">
        <v>12</v>
      </c>
      <c r="C838" s="1">
        <v>99</v>
      </c>
      <c r="D838" s="1">
        <v>16</v>
      </c>
      <c r="E838" s="1" t="s">
        <v>10</v>
      </c>
      <c r="F838" s="1">
        <v>22679</v>
      </c>
      <c r="G838" s="1" t="str">
        <f t="shared" si="39"/>
        <v>Sufficient</v>
      </c>
      <c r="H838" s="1">
        <f t="shared" si="40"/>
        <v>2245221</v>
      </c>
      <c r="I838" s="1">
        <f t="shared" si="41"/>
        <v>4535.8</v>
      </c>
    </row>
    <row r="839" spans="1:9" x14ac:dyDescent="0.3">
      <c r="A839" s="1" t="s">
        <v>856</v>
      </c>
      <c r="B839" s="1" t="s">
        <v>18</v>
      </c>
      <c r="C839" s="1">
        <v>131</v>
      </c>
      <c r="D839" s="1">
        <v>30</v>
      </c>
      <c r="E839" s="1" t="s">
        <v>13</v>
      </c>
      <c r="F839" s="1">
        <v>9891</v>
      </c>
      <c r="G839" s="1" t="str">
        <f t="shared" si="39"/>
        <v>Sufficient</v>
      </c>
      <c r="H839" s="1">
        <f t="shared" si="40"/>
        <v>1295721</v>
      </c>
      <c r="I839" s="1">
        <f t="shared" si="41"/>
        <v>1978.2</v>
      </c>
    </row>
    <row r="840" spans="1:9" x14ac:dyDescent="0.3">
      <c r="A840" s="1" t="s">
        <v>857</v>
      </c>
      <c r="B840" s="1" t="s">
        <v>29</v>
      </c>
      <c r="C840" s="1">
        <v>174</v>
      </c>
      <c r="D840" s="1">
        <v>41</v>
      </c>
      <c r="E840" s="1" t="s">
        <v>16</v>
      </c>
      <c r="F840" s="1">
        <v>12255</v>
      </c>
      <c r="G840" s="1" t="str">
        <f t="shared" si="39"/>
        <v>Sufficient</v>
      </c>
      <c r="H840" s="1">
        <f t="shared" si="40"/>
        <v>2132370</v>
      </c>
      <c r="I840" s="1">
        <f t="shared" si="41"/>
        <v>2451</v>
      </c>
    </row>
    <row r="841" spans="1:9" x14ac:dyDescent="0.3">
      <c r="A841" s="1" t="s">
        <v>858</v>
      </c>
      <c r="B841" s="1" t="s">
        <v>7</v>
      </c>
      <c r="C841" s="1">
        <v>67</v>
      </c>
      <c r="D841" s="1">
        <v>39</v>
      </c>
      <c r="E841" s="1" t="s">
        <v>13</v>
      </c>
      <c r="F841" s="1">
        <v>77092</v>
      </c>
      <c r="G841" s="1" t="str">
        <f t="shared" si="39"/>
        <v>Sufficient</v>
      </c>
      <c r="H841" s="1">
        <f t="shared" si="40"/>
        <v>5165164</v>
      </c>
      <c r="I841" s="1">
        <f t="shared" si="41"/>
        <v>15418.400000000001</v>
      </c>
    </row>
    <row r="842" spans="1:9" x14ac:dyDescent="0.3">
      <c r="A842" s="1" t="s">
        <v>859</v>
      </c>
      <c r="B842" s="1" t="s">
        <v>25</v>
      </c>
      <c r="C842" s="1">
        <v>31</v>
      </c>
      <c r="D842" s="1">
        <v>30</v>
      </c>
      <c r="E842" s="1" t="s">
        <v>13</v>
      </c>
      <c r="F842" s="1">
        <v>62776</v>
      </c>
      <c r="G842" s="1" t="str">
        <f t="shared" si="39"/>
        <v>Sufficient</v>
      </c>
      <c r="H842" s="1">
        <f t="shared" si="40"/>
        <v>1946056</v>
      </c>
      <c r="I842" s="1">
        <f t="shared" si="41"/>
        <v>12555.2</v>
      </c>
    </row>
    <row r="843" spans="1:9" x14ac:dyDescent="0.3">
      <c r="A843" s="1" t="s">
        <v>860</v>
      </c>
      <c r="B843" s="1" t="s">
        <v>15</v>
      </c>
      <c r="C843" s="1">
        <v>38</v>
      </c>
      <c r="D843" s="1">
        <v>11</v>
      </c>
      <c r="E843" s="1" t="s">
        <v>16</v>
      </c>
      <c r="F843" s="1">
        <v>44258</v>
      </c>
      <c r="G843" s="1" t="str">
        <f t="shared" si="39"/>
        <v>Sufficient</v>
      </c>
      <c r="H843" s="1">
        <f t="shared" si="40"/>
        <v>1681804</v>
      </c>
      <c r="I843" s="1">
        <f t="shared" si="41"/>
        <v>8851.6</v>
      </c>
    </row>
    <row r="844" spans="1:9" x14ac:dyDescent="0.3">
      <c r="A844" s="1" t="s">
        <v>861</v>
      </c>
      <c r="B844" s="1" t="s">
        <v>15</v>
      </c>
      <c r="C844" s="1">
        <v>149</v>
      </c>
      <c r="D844" s="1">
        <v>50</v>
      </c>
      <c r="E844" s="1" t="s">
        <v>10</v>
      </c>
      <c r="F844" s="1">
        <v>75160</v>
      </c>
      <c r="G844" s="1" t="str">
        <f t="shared" si="39"/>
        <v>Sufficient</v>
      </c>
      <c r="H844" s="1">
        <f t="shared" si="40"/>
        <v>11198840</v>
      </c>
      <c r="I844" s="1">
        <f t="shared" si="41"/>
        <v>15032</v>
      </c>
    </row>
    <row r="845" spans="1:9" x14ac:dyDescent="0.3">
      <c r="A845" s="1" t="s">
        <v>862</v>
      </c>
      <c r="B845" s="1" t="s">
        <v>25</v>
      </c>
      <c r="C845" s="1">
        <v>115</v>
      </c>
      <c r="D845" s="1">
        <v>23</v>
      </c>
      <c r="E845" s="1" t="s">
        <v>16</v>
      </c>
      <c r="F845" s="1">
        <v>33970</v>
      </c>
      <c r="G845" s="1" t="str">
        <f t="shared" si="39"/>
        <v>Sufficient</v>
      </c>
      <c r="H845" s="1">
        <f t="shared" si="40"/>
        <v>3906550</v>
      </c>
      <c r="I845" s="1">
        <f t="shared" si="41"/>
        <v>6794</v>
      </c>
    </row>
    <row r="846" spans="1:9" x14ac:dyDescent="0.3">
      <c r="A846" s="1" t="s">
        <v>863</v>
      </c>
      <c r="B846" s="1" t="s">
        <v>29</v>
      </c>
      <c r="C846" s="1">
        <v>62</v>
      </c>
      <c r="D846" s="1">
        <v>20</v>
      </c>
      <c r="E846" s="1" t="s">
        <v>26</v>
      </c>
      <c r="F846" s="1">
        <v>61963</v>
      </c>
      <c r="G846" s="1" t="str">
        <f t="shared" si="39"/>
        <v>Sufficient</v>
      </c>
      <c r="H846" s="1">
        <f t="shared" si="40"/>
        <v>3841706</v>
      </c>
      <c r="I846" s="1">
        <f t="shared" si="41"/>
        <v>12392.6</v>
      </c>
    </row>
    <row r="847" spans="1:9" x14ac:dyDescent="0.3">
      <c r="A847" s="1" t="s">
        <v>864</v>
      </c>
      <c r="B847" s="1" t="s">
        <v>23</v>
      </c>
      <c r="C847" s="1">
        <v>90</v>
      </c>
      <c r="D847" s="1">
        <v>13</v>
      </c>
      <c r="E847" s="1" t="s">
        <v>13</v>
      </c>
      <c r="F847" s="1">
        <v>52909</v>
      </c>
      <c r="G847" s="1" t="str">
        <f t="shared" si="39"/>
        <v>Sufficient</v>
      </c>
      <c r="H847" s="1">
        <f t="shared" si="40"/>
        <v>4761810</v>
      </c>
      <c r="I847" s="1">
        <f t="shared" si="41"/>
        <v>10581.800000000001</v>
      </c>
    </row>
    <row r="848" spans="1:9" x14ac:dyDescent="0.3">
      <c r="A848" s="1" t="s">
        <v>865</v>
      </c>
      <c r="B848" s="1" t="s">
        <v>25</v>
      </c>
      <c r="C848" s="1">
        <v>85</v>
      </c>
      <c r="D848" s="1">
        <v>43</v>
      </c>
      <c r="E848" s="1" t="s">
        <v>10</v>
      </c>
      <c r="F848" s="1">
        <v>31611</v>
      </c>
      <c r="G848" s="1" t="str">
        <f t="shared" si="39"/>
        <v>Sufficient</v>
      </c>
      <c r="H848" s="1">
        <f t="shared" si="40"/>
        <v>2686935</v>
      </c>
      <c r="I848" s="1">
        <f t="shared" si="41"/>
        <v>6322.2000000000007</v>
      </c>
    </row>
    <row r="849" spans="1:9" x14ac:dyDescent="0.3">
      <c r="A849" s="1" t="s">
        <v>866</v>
      </c>
      <c r="B849" s="1" t="s">
        <v>29</v>
      </c>
      <c r="C849" s="1">
        <v>76</v>
      </c>
      <c r="D849" s="1">
        <v>31</v>
      </c>
      <c r="E849" s="1" t="s">
        <v>13</v>
      </c>
      <c r="F849" s="1">
        <v>50574</v>
      </c>
      <c r="G849" s="1" t="str">
        <f t="shared" si="39"/>
        <v>Sufficient</v>
      </c>
      <c r="H849" s="1">
        <f t="shared" si="40"/>
        <v>3843624</v>
      </c>
      <c r="I849" s="1">
        <f t="shared" si="41"/>
        <v>10114.800000000001</v>
      </c>
    </row>
    <row r="850" spans="1:9" x14ac:dyDescent="0.3">
      <c r="A850" s="1" t="s">
        <v>867</v>
      </c>
      <c r="B850" s="1" t="s">
        <v>25</v>
      </c>
      <c r="C850" s="1">
        <v>59</v>
      </c>
      <c r="D850" s="1">
        <v>41</v>
      </c>
      <c r="E850" s="1" t="s">
        <v>16</v>
      </c>
      <c r="F850" s="1">
        <v>73620</v>
      </c>
      <c r="G850" s="1" t="str">
        <f t="shared" si="39"/>
        <v>Sufficient</v>
      </c>
      <c r="H850" s="1">
        <f t="shared" si="40"/>
        <v>4343580</v>
      </c>
      <c r="I850" s="1">
        <f t="shared" si="41"/>
        <v>14724</v>
      </c>
    </row>
    <row r="851" spans="1:9" x14ac:dyDescent="0.3">
      <c r="A851" s="1" t="s">
        <v>868</v>
      </c>
      <c r="B851" s="1" t="s">
        <v>29</v>
      </c>
      <c r="C851" s="1">
        <v>67</v>
      </c>
      <c r="D851" s="1">
        <v>44</v>
      </c>
      <c r="E851" s="1" t="s">
        <v>16</v>
      </c>
      <c r="F851" s="1">
        <v>7388</v>
      </c>
      <c r="G851" s="1" t="str">
        <f t="shared" si="39"/>
        <v>Sufficient</v>
      </c>
      <c r="H851" s="1">
        <f t="shared" si="40"/>
        <v>494996</v>
      </c>
      <c r="I851" s="1">
        <f t="shared" si="41"/>
        <v>1477.6000000000001</v>
      </c>
    </row>
    <row r="852" spans="1:9" x14ac:dyDescent="0.3">
      <c r="A852" s="1" t="s">
        <v>869</v>
      </c>
      <c r="B852" s="1" t="s">
        <v>7</v>
      </c>
      <c r="C852" s="1">
        <v>16</v>
      </c>
      <c r="D852" s="1">
        <v>24</v>
      </c>
      <c r="E852" s="1" t="s">
        <v>8</v>
      </c>
      <c r="F852" s="1">
        <v>39310</v>
      </c>
      <c r="G852" s="1" t="str">
        <f t="shared" si="39"/>
        <v>Low Stock</v>
      </c>
      <c r="H852" s="1">
        <f t="shared" si="40"/>
        <v>628960</v>
      </c>
      <c r="I852" s="1">
        <f t="shared" si="41"/>
        <v>7862</v>
      </c>
    </row>
    <row r="853" spans="1:9" x14ac:dyDescent="0.3">
      <c r="A853" s="1" t="s">
        <v>870</v>
      </c>
      <c r="B853" s="1" t="s">
        <v>15</v>
      </c>
      <c r="C853" s="1">
        <v>44</v>
      </c>
      <c r="D853" s="1">
        <v>47</v>
      </c>
      <c r="E853" s="1" t="s">
        <v>10</v>
      </c>
      <c r="F853" s="1">
        <v>34002</v>
      </c>
      <c r="G853" s="1" t="str">
        <f t="shared" si="39"/>
        <v>Low Stock</v>
      </c>
      <c r="H853" s="1">
        <f t="shared" si="40"/>
        <v>1496088</v>
      </c>
      <c r="I853" s="1">
        <f t="shared" si="41"/>
        <v>6800.4000000000005</v>
      </c>
    </row>
    <row r="854" spans="1:9" x14ac:dyDescent="0.3">
      <c r="A854" s="1" t="s">
        <v>871</v>
      </c>
      <c r="B854" s="1" t="s">
        <v>12</v>
      </c>
      <c r="C854" s="1">
        <v>165</v>
      </c>
      <c r="D854" s="1">
        <v>18</v>
      </c>
      <c r="E854" s="1" t="s">
        <v>26</v>
      </c>
      <c r="F854" s="1">
        <v>37910</v>
      </c>
      <c r="G854" s="1" t="str">
        <f t="shared" si="39"/>
        <v>Sufficient</v>
      </c>
      <c r="H854" s="1">
        <f t="shared" si="40"/>
        <v>6255150</v>
      </c>
      <c r="I854" s="1">
        <f t="shared" si="41"/>
        <v>7582</v>
      </c>
    </row>
    <row r="855" spans="1:9" x14ac:dyDescent="0.3">
      <c r="A855" s="1" t="s">
        <v>872</v>
      </c>
      <c r="B855" s="1" t="s">
        <v>20</v>
      </c>
      <c r="C855" s="1">
        <v>188</v>
      </c>
      <c r="D855" s="1">
        <v>18</v>
      </c>
      <c r="E855" s="1" t="s">
        <v>13</v>
      </c>
      <c r="F855" s="1">
        <v>10896</v>
      </c>
      <c r="G855" s="1" t="str">
        <f t="shared" si="39"/>
        <v>Sufficient</v>
      </c>
      <c r="H855" s="1">
        <f t="shared" si="40"/>
        <v>2048448</v>
      </c>
      <c r="I855" s="1">
        <f t="shared" si="41"/>
        <v>2179.2000000000003</v>
      </c>
    </row>
    <row r="856" spans="1:9" x14ac:dyDescent="0.3">
      <c r="A856" s="1" t="s">
        <v>873</v>
      </c>
      <c r="B856" s="1" t="s">
        <v>25</v>
      </c>
      <c r="C856" s="1">
        <v>9</v>
      </c>
      <c r="D856" s="1">
        <v>16</v>
      </c>
      <c r="E856" s="1" t="s">
        <v>13</v>
      </c>
      <c r="F856" s="1">
        <v>44984</v>
      </c>
      <c r="G856" s="1" t="str">
        <f t="shared" si="39"/>
        <v>Low Stock</v>
      </c>
      <c r="H856" s="1">
        <f t="shared" si="40"/>
        <v>404856</v>
      </c>
      <c r="I856" s="1">
        <f t="shared" si="41"/>
        <v>8996.8000000000011</v>
      </c>
    </row>
    <row r="857" spans="1:9" x14ac:dyDescent="0.3">
      <c r="A857" s="1" t="s">
        <v>874</v>
      </c>
      <c r="B857" s="1" t="s">
        <v>29</v>
      </c>
      <c r="C857" s="1">
        <v>3</v>
      </c>
      <c r="D857" s="1">
        <v>26</v>
      </c>
      <c r="E857" s="1" t="s">
        <v>10</v>
      </c>
      <c r="F857" s="1">
        <v>14561</v>
      </c>
      <c r="G857" s="1" t="str">
        <f t="shared" si="39"/>
        <v>Low Stock</v>
      </c>
      <c r="H857" s="1">
        <f t="shared" si="40"/>
        <v>43683</v>
      </c>
      <c r="I857" s="1">
        <f t="shared" si="41"/>
        <v>2912.2000000000003</v>
      </c>
    </row>
    <row r="858" spans="1:9" x14ac:dyDescent="0.3">
      <c r="A858" s="1" t="s">
        <v>875</v>
      </c>
      <c r="B858" s="1" t="s">
        <v>20</v>
      </c>
      <c r="C858" s="1">
        <v>194</v>
      </c>
      <c r="D858" s="1">
        <v>50</v>
      </c>
      <c r="E858" s="1" t="s">
        <v>16</v>
      </c>
      <c r="F858" s="1">
        <v>16173</v>
      </c>
      <c r="G858" s="1" t="str">
        <f t="shared" si="39"/>
        <v>Sufficient</v>
      </c>
      <c r="H858" s="1">
        <f t="shared" si="40"/>
        <v>3137562</v>
      </c>
      <c r="I858" s="1">
        <f t="shared" si="41"/>
        <v>3234.6000000000004</v>
      </c>
    </row>
    <row r="859" spans="1:9" x14ac:dyDescent="0.3">
      <c r="A859" s="1" t="s">
        <v>876</v>
      </c>
      <c r="B859" s="1" t="s">
        <v>29</v>
      </c>
      <c r="C859" s="1">
        <v>34</v>
      </c>
      <c r="D859" s="1">
        <v>20</v>
      </c>
      <c r="E859" s="1" t="s">
        <v>26</v>
      </c>
      <c r="F859" s="1">
        <v>49121</v>
      </c>
      <c r="G859" s="1" t="str">
        <f t="shared" si="39"/>
        <v>Sufficient</v>
      </c>
      <c r="H859" s="1">
        <f t="shared" si="40"/>
        <v>1670114</v>
      </c>
      <c r="I859" s="1">
        <f t="shared" si="41"/>
        <v>9824.2000000000007</v>
      </c>
    </row>
    <row r="860" spans="1:9" x14ac:dyDescent="0.3">
      <c r="A860" s="1" t="s">
        <v>877</v>
      </c>
      <c r="B860" s="1" t="s">
        <v>15</v>
      </c>
      <c r="C860" s="1">
        <v>158</v>
      </c>
      <c r="D860" s="1">
        <v>50</v>
      </c>
      <c r="E860" s="1" t="s">
        <v>16</v>
      </c>
      <c r="F860" s="1">
        <v>30615</v>
      </c>
      <c r="G860" s="1" t="str">
        <f t="shared" si="39"/>
        <v>Sufficient</v>
      </c>
      <c r="H860" s="1">
        <f t="shared" si="40"/>
        <v>4837170</v>
      </c>
      <c r="I860" s="1">
        <f t="shared" si="41"/>
        <v>6123</v>
      </c>
    </row>
    <row r="861" spans="1:9" x14ac:dyDescent="0.3">
      <c r="A861" s="1" t="s">
        <v>878</v>
      </c>
      <c r="B861" s="1" t="s">
        <v>29</v>
      </c>
      <c r="C861" s="1">
        <v>143</v>
      </c>
      <c r="D861" s="1">
        <v>40</v>
      </c>
      <c r="E861" s="1" t="s">
        <v>8</v>
      </c>
      <c r="F861" s="1">
        <v>38122</v>
      </c>
      <c r="G861" s="1" t="str">
        <f t="shared" si="39"/>
        <v>Sufficient</v>
      </c>
      <c r="H861" s="1">
        <f t="shared" si="40"/>
        <v>5451446</v>
      </c>
      <c r="I861" s="1">
        <f t="shared" si="41"/>
        <v>7624.4000000000005</v>
      </c>
    </row>
    <row r="862" spans="1:9" x14ac:dyDescent="0.3">
      <c r="A862" s="1" t="s">
        <v>879</v>
      </c>
      <c r="B862" s="1" t="s">
        <v>12</v>
      </c>
      <c r="C862" s="1">
        <v>5</v>
      </c>
      <c r="D862" s="1">
        <v>45</v>
      </c>
      <c r="E862" s="1" t="s">
        <v>26</v>
      </c>
      <c r="F862" s="1">
        <v>12202</v>
      </c>
      <c r="G862" s="1" t="str">
        <f t="shared" si="39"/>
        <v>Low Stock</v>
      </c>
      <c r="H862" s="1">
        <f t="shared" si="40"/>
        <v>61010</v>
      </c>
      <c r="I862" s="1">
        <f t="shared" si="41"/>
        <v>2440.4</v>
      </c>
    </row>
    <row r="863" spans="1:9" x14ac:dyDescent="0.3">
      <c r="A863" s="1" t="s">
        <v>880</v>
      </c>
      <c r="B863" s="1" t="s">
        <v>29</v>
      </c>
      <c r="C863" s="1">
        <v>121</v>
      </c>
      <c r="D863" s="1">
        <v>20</v>
      </c>
      <c r="E863" s="1" t="s">
        <v>16</v>
      </c>
      <c r="F863" s="1">
        <v>68474</v>
      </c>
      <c r="G863" s="1" t="str">
        <f t="shared" si="39"/>
        <v>Sufficient</v>
      </c>
      <c r="H863" s="1">
        <f t="shared" si="40"/>
        <v>8285354</v>
      </c>
      <c r="I863" s="1">
        <f t="shared" si="41"/>
        <v>13694.800000000001</v>
      </c>
    </row>
    <row r="864" spans="1:9" x14ac:dyDescent="0.3">
      <c r="A864" s="1" t="s">
        <v>881</v>
      </c>
      <c r="B864" s="1" t="s">
        <v>18</v>
      </c>
      <c r="C864" s="1">
        <v>176</v>
      </c>
      <c r="D864" s="1">
        <v>24</v>
      </c>
      <c r="E864" s="1" t="s">
        <v>10</v>
      </c>
      <c r="F864" s="1">
        <v>31561</v>
      </c>
      <c r="G864" s="1" t="str">
        <f t="shared" si="39"/>
        <v>Sufficient</v>
      </c>
      <c r="H864" s="1">
        <f t="shared" si="40"/>
        <v>5554736</v>
      </c>
      <c r="I864" s="1">
        <f t="shared" si="41"/>
        <v>6312.2000000000007</v>
      </c>
    </row>
    <row r="865" spans="1:9" x14ac:dyDescent="0.3">
      <c r="A865" s="1" t="s">
        <v>882</v>
      </c>
      <c r="B865" s="1" t="s">
        <v>12</v>
      </c>
      <c r="C865" s="1">
        <v>66</v>
      </c>
      <c r="D865" s="1">
        <v>26</v>
      </c>
      <c r="E865" s="1" t="s">
        <v>26</v>
      </c>
      <c r="F865" s="1">
        <v>10236</v>
      </c>
      <c r="G865" s="1" t="str">
        <f t="shared" si="39"/>
        <v>Sufficient</v>
      </c>
      <c r="H865" s="1">
        <f t="shared" si="40"/>
        <v>675576</v>
      </c>
      <c r="I865" s="1">
        <f t="shared" si="41"/>
        <v>2047.2</v>
      </c>
    </row>
    <row r="866" spans="1:9" x14ac:dyDescent="0.3">
      <c r="A866" s="1" t="s">
        <v>883</v>
      </c>
      <c r="B866" s="1" t="s">
        <v>7</v>
      </c>
      <c r="C866" s="1">
        <v>84</v>
      </c>
      <c r="D866" s="1">
        <v>15</v>
      </c>
      <c r="E866" s="1" t="s">
        <v>10</v>
      </c>
      <c r="F866" s="1">
        <v>30706</v>
      </c>
      <c r="G866" s="1" t="str">
        <f t="shared" si="39"/>
        <v>Sufficient</v>
      </c>
      <c r="H866" s="1">
        <f t="shared" si="40"/>
        <v>2579304</v>
      </c>
      <c r="I866" s="1">
        <f t="shared" si="41"/>
        <v>6141.2000000000007</v>
      </c>
    </row>
    <row r="867" spans="1:9" x14ac:dyDescent="0.3">
      <c r="A867" s="1" t="s">
        <v>884</v>
      </c>
      <c r="B867" s="1" t="s">
        <v>25</v>
      </c>
      <c r="C867" s="1">
        <v>100</v>
      </c>
      <c r="D867" s="1">
        <v>10</v>
      </c>
      <c r="E867" s="1" t="s">
        <v>26</v>
      </c>
      <c r="F867" s="1">
        <v>14471</v>
      </c>
      <c r="G867" s="1" t="str">
        <f t="shared" si="39"/>
        <v>Sufficient</v>
      </c>
      <c r="H867" s="1">
        <f t="shared" si="40"/>
        <v>1447100</v>
      </c>
      <c r="I867" s="1">
        <f t="shared" si="41"/>
        <v>2894.2000000000003</v>
      </c>
    </row>
    <row r="868" spans="1:9" x14ac:dyDescent="0.3">
      <c r="A868" s="1" t="s">
        <v>885</v>
      </c>
      <c r="B868" s="1" t="s">
        <v>7</v>
      </c>
      <c r="C868" s="1">
        <v>163</v>
      </c>
      <c r="D868" s="1">
        <v>44</v>
      </c>
      <c r="E868" s="1" t="s">
        <v>8</v>
      </c>
      <c r="F868" s="1">
        <v>51303</v>
      </c>
      <c r="G868" s="1" t="str">
        <f t="shared" si="39"/>
        <v>Sufficient</v>
      </c>
      <c r="H868" s="1">
        <f t="shared" si="40"/>
        <v>8362389</v>
      </c>
      <c r="I868" s="1">
        <f t="shared" si="41"/>
        <v>10260.6</v>
      </c>
    </row>
    <row r="869" spans="1:9" x14ac:dyDescent="0.3">
      <c r="A869" s="1" t="s">
        <v>886</v>
      </c>
      <c r="B869" s="1" t="s">
        <v>25</v>
      </c>
      <c r="C869" s="1">
        <v>35</v>
      </c>
      <c r="D869" s="1">
        <v>38</v>
      </c>
      <c r="E869" s="1" t="s">
        <v>10</v>
      </c>
      <c r="F869" s="1">
        <v>66361</v>
      </c>
      <c r="G869" s="1" t="str">
        <f t="shared" si="39"/>
        <v>Low Stock</v>
      </c>
      <c r="H869" s="1">
        <f t="shared" si="40"/>
        <v>2322635</v>
      </c>
      <c r="I869" s="1">
        <f t="shared" si="41"/>
        <v>13272.2</v>
      </c>
    </row>
    <row r="870" spans="1:9" x14ac:dyDescent="0.3">
      <c r="A870" s="1" t="s">
        <v>887</v>
      </c>
      <c r="B870" s="1" t="s">
        <v>29</v>
      </c>
      <c r="C870" s="1">
        <v>96</v>
      </c>
      <c r="D870" s="1">
        <v>35</v>
      </c>
      <c r="E870" s="1" t="s">
        <v>26</v>
      </c>
      <c r="F870" s="1">
        <v>28456</v>
      </c>
      <c r="G870" s="1" t="str">
        <f t="shared" si="39"/>
        <v>Sufficient</v>
      </c>
      <c r="H870" s="1">
        <f t="shared" si="40"/>
        <v>2731776</v>
      </c>
      <c r="I870" s="1">
        <f t="shared" si="41"/>
        <v>5691.2000000000007</v>
      </c>
    </row>
    <row r="871" spans="1:9" x14ac:dyDescent="0.3">
      <c r="A871" s="1" t="s">
        <v>888</v>
      </c>
      <c r="B871" s="1" t="s">
        <v>23</v>
      </c>
      <c r="C871" s="1">
        <v>39</v>
      </c>
      <c r="D871" s="1">
        <v>37</v>
      </c>
      <c r="E871" s="1" t="s">
        <v>13</v>
      </c>
      <c r="F871" s="1">
        <v>27042</v>
      </c>
      <c r="G871" s="1" t="str">
        <f t="shared" si="39"/>
        <v>Sufficient</v>
      </c>
      <c r="H871" s="1">
        <f t="shared" si="40"/>
        <v>1054638</v>
      </c>
      <c r="I871" s="1">
        <f t="shared" si="41"/>
        <v>5408.4000000000005</v>
      </c>
    </row>
    <row r="872" spans="1:9" x14ac:dyDescent="0.3">
      <c r="A872" s="1" t="s">
        <v>889</v>
      </c>
      <c r="B872" s="1" t="s">
        <v>7</v>
      </c>
      <c r="C872" s="1">
        <v>126</v>
      </c>
      <c r="D872" s="1">
        <v>21</v>
      </c>
      <c r="E872" s="1" t="s">
        <v>26</v>
      </c>
      <c r="F872" s="1">
        <v>6197</v>
      </c>
      <c r="G872" s="1" t="str">
        <f t="shared" si="39"/>
        <v>Sufficient</v>
      </c>
      <c r="H872" s="1">
        <f t="shared" si="40"/>
        <v>780822</v>
      </c>
      <c r="I872" s="1">
        <f t="shared" si="41"/>
        <v>1239.4000000000001</v>
      </c>
    </row>
    <row r="873" spans="1:9" x14ac:dyDescent="0.3">
      <c r="A873" s="1" t="s">
        <v>890</v>
      </c>
      <c r="B873" s="1" t="s">
        <v>25</v>
      </c>
      <c r="C873" s="1">
        <v>68</v>
      </c>
      <c r="D873" s="1">
        <v>31</v>
      </c>
      <c r="E873" s="1" t="s">
        <v>26</v>
      </c>
      <c r="F873" s="1">
        <v>43576</v>
      </c>
      <c r="G873" s="1" t="str">
        <f t="shared" si="39"/>
        <v>Sufficient</v>
      </c>
      <c r="H873" s="1">
        <f t="shared" si="40"/>
        <v>2963168</v>
      </c>
      <c r="I873" s="1">
        <f t="shared" si="41"/>
        <v>8715.2000000000007</v>
      </c>
    </row>
    <row r="874" spans="1:9" x14ac:dyDescent="0.3">
      <c r="A874" s="1" t="s">
        <v>891</v>
      </c>
      <c r="B874" s="1" t="s">
        <v>29</v>
      </c>
      <c r="C874" s="1">
        <v>47</v>
      </c>
      <c r="D874" s="1">
        <v>16</v>
      </c>
      <c r="E874" s="1" t="s">
        <v>16</v>
      </c>
      <c r="F874" s="1">
        <v>45271</v>
      </c>
      <c r="G874" s="1" t="str">
        <f t="shared" si="39"/>
        <v>Sufficient</v>
      </c>
      <c r="H874" s="1">
        <f t="shared" si="40"/>
        <v>2127737</v>
      </c>
      <c r="I874" s="1">
        <f t="shared" si="41"/>
        <v>9054.2000000000007</v>
      </c>
    </row>
    <row r="875" spans="1:9" x14ac:dyDescent="0.3">
      <c r="A875" s="1" t="s">
        <v>892</v>
      </c>
      <c r="B875" s="1" t="s">
        <v>20</v>
      </c>
      <c r="C875" s="1">
        <v>58</v>
      </c>
      <c r="D875" s="1">
        <v>46</v>
      </c>
      <c r="E875" s="1" t="s">
        <v>8</v>
      </c>
      <c r="F875" s="1">
        <v>40907</v>
      </c>
      <c r="G875" s="1" t="str">
        <f t="shared" si="39"/>
        <v>Sufficient</v>
      </c>
      <c r="H875" s="1">
        <f t="shared" si="40"/>
        <v>2372606</v>
      </c>
      <c r="I875" s="1">
        <f t="shared" si="41"/>
        <v>8181.4000000000005</v>
      </c>
    </row>
    <row r="876" spans="1:9" x14ac:dyDescent="0.3">
      <c r="A876" s="1" t="s">
        <v>893</v>
      </c>
      <c r="B876" s="1" t="s">
        <v>25</v>
      </c>
      <c r="C876" s="1">
        <v>145</v>
      </c>
      <c r="D876" s="1">
        <v>13</v>
      </c>
      <c r="E876" s="1" t="s">
        <v>16</v>
      </c>
      <c r="F876" s="1">
        <v>78031</v>
      </c>
      <c r="G876" s="1" t="str">
        <f t="shared" si="39"/>
        <v>Sufficient</v>
      </c>
      <c r="H876" s="1">
        <f t="shared" si="40"/>
        <v>11314495</v>
      </c>
      <c r="I876" s="1">
        <f t="shared" si="41"/>
        <v>15606.2</v>
      </c>
    </row>
    <row r="877" spans="1:9" x14ac:dyDescent="0.3">
      <c r="A877" s="1" t="s">
        <v>894</v>
      </c>
      <c r="B877" s="1" t="s">
        <v>7</v>
      </c>
      <c r="C877" s="1">
        <v>19</v>
      </c>
      <c r="D877" s="1">
        <v>22</v>
      </c>
      <c r="E877" s="1" t="s">
        <v>16</v>
      </c>
      <c r="F877" s="1">
        <v>60540</v>
      </c>
      <c r="G877" s="1" t="str">
        <f t="shared" si="39"/>
        <v>Low Stock</v>
      </c>
      <c r="H877" s="1">
        <f t="shared" si="40"/>
        <v>1150260</v>
      </c>
      <c r="I877" s="1">
        <f t="shared" si="41"/>
        <v>12108</v>
      </c>
    </row>
    <row r="878" spans="1:9" x14ac:dyDescent="0.3">
      <c r="A878" s="1" t="s">
        <v>895</v>
      </c>
      <c r="B878" s="1" t="s">
        <v>12</v>
      </c>
      <c r="C878" s="1">
        <v>83</v>
      </c>
      <c r="D878" s="1">
        <v>11</v>
      </c>
      <c r="E878" s="1" t="s">
        <v>26</v>
      </c>
      <c r="F878" s="1">
        <v>13025</v>
      </c>
      <c r="G878" s="1" t="str">
        <f t="shared" si="39"/>
        <v>Sufficient</v>
      </c>
      <c r="H878" s="1">
        <f t="shared" si="40"/>
        <v>1081075</v>
      </c>
      <c r="I878" s="1">
        <f t="shared" si="41"/>
        <v>2605</v>
      </c>
    </row>
    <row r="879" spans="1:9" x14ac:dyDescent="0.3">
      <c r="A879" s="1" t="s">
        <v>896</v>
      </c>
      <c r="B879" s="1" t="s">
        <v>15</v>
      </c>
      <c r="C879" s="1">
        <v>59</v>
      </c>
      <c r="D879" s="1">
        <v>45</v>
      </c>
      <c r="E879" s="1" t="s">
        <v>16</v>
      </c>
      <c r="F879" s="1">
        <v>10861</v>
      </c>
      <c r="G879" s="1" t="str">
        <f t="shared" si="39"/>
        <v>Sufficient</v>
      </c>
      <c r="H879" s="1">
        <f t="shared" si="40"/>
        <v>640799</v>
      </c>
      <c r="I879" s="1">
        <f t="shared" si="41"/>
        <v>2172.2000000000003</v>
      </c>
    </row>
    <row r="880" spans="1:9" x14ac:dyDescent="0.3">
      <c r="A880" s="1" t="s">
        <v>897</v>
      </c>
      <c r="B880" s="1" t="s">
        <v>25</v>
      </c>
      <c r="C880" s="1">
        <v>169</v>
      </c>
      <c r="D880" s="1">
        <v>16</v>
      </c>
      <c r="E880" s="1" t="s">
        <v>13</v>
      </c>
      <c r="F880" s="1">
        <v>12390</v>
      </c>
      <c r="G880" s="1" t="str">
        <f t="shared" si="39"/>
        <v>Sufficient</v>
      </c>
      <c r="H880" s="1">
        <f t="shared" si="40"/>
        <v>2093910</v>
      </c>
      <c r="I880" s="1">
        <f t="shared" si="41"/>
        <v>2478</v>
      </c>
    </row>
    <row r="881" spans="1:9" x14ac:dyDescent="0.3">
      <c r="A881" s="1" t="s">
        <v>898</v>
      </c>
      <c r="B881" s="1" t="s">
        <v>23</v>
      </c>
      <c r="C881" s="1">
        <v>49</v>
      </c>
      <c r="D881" s="1">
        <v>40</v>
      </c>
      <c r="E881" s="1" t="s">
        <v>8</v>
      </c>
      <c r="F881" s="1">
        <v>1415</v>
      </c>
      <c r="G881" s="1" t="str">
        <f t="shared" si="39"/>
        <v>Sufficient</v>
      </c>
      <c r="H881" s="1">
        <f t="shared" si="40"/>
        <v>69335</v>
      </c>
      <c r="I881" s="1">
        <f t="shared" si="41"/>
        <v>283</v>
      </c>
    </row>
    <row r="882" spans="1:9" x14ac:dyDescent="0.3">
      <c r="A882" s="1" t="s">
        <v>899</v>
      </c>
      <c r="B882" s="1" t="s">
        <v>7</v>
      </c>
      <c r="C882" s="1">
        <v>131</v>
      </c>
      <c r="D882" s="1">
        <v>46</v>
      </c>
      <c r="E882" s="1" t="s">
        <v>8</v>
      </c>
      <c r="F882" s="1">
        <v>54856</v>
      </c>
      <c r="G882" s="1" t="str">
        <f t="shared" si="39"/>
        <v>Sufficient</v>
      </c>
      <c r="H882" s="1">
        <f t="shared" si="40"/>
        <v>7186136</v>
      </c>
      <c r="I882" s="1">
        <f t="shared" si="41"/>
        <v>10971.2</v>
      </c>
    </row>
    <row r="883" spans="1:9" x14ac:dyDescent="0.3">
      <c r="A883" s="1" t="s">
        <v>900</v>
      </c>
      <c r="B883" s="1" t="s">
        <v>12</v>
      </c>
      <c r="C883" s="1">
        <v>148</v>
      </c>
      <c r="D883" s="1">
        <v>23</v>
      </c>
      <c r="E883" s="1" t="s">
        <v>26</v>
      </c>
      <c r="F883" s="1">
        <v>47196</v>
      </c>
      <c r="G883" s="1" t="str">
        <f t="shared" si="39"/>
        <v>Sufficient</v>
      </c>
      <c r="H883" s="1">
        <f t="shared" si="40"/>
        <v>6985008</v>
      </c>
      <c r="I883" s="1">
        <f t="shared" si="41"/>
        <v>9439.2000000000007</v>
      </c>
    </row>
    <row r="884" spans="1:9" x14ac:dyDescent="0.3">
      <c r="A884" s="1" t="s">
        <v>901</v>
      </c>
      <c r="B884" s="1" t="s">
        <v>15</v>
      </c>
      <c r="C884" s="1">
        <v>135</v>
      </c>
      <c r="D884" s="1">
        <v>29</v>
      </c>
      <c r="E884" s="1" t="s">
        <v>26</v>
      </c>
      <c r="F884" s="1">
        <v>31976</v>
      </c>
      <c r="G884" s="1" t="str">
        <f t="shared" si="39"/>
        <v>Sufficient</v>
      </c>
      <c r="H884" s="1">
        <f t="shared" si="40"/>
        <v>4316760</v>
      </c>
      <c r="I884" s="1">
        <f t="shared" si="41"/>
        <v>6395.2000000000007</v>
      </c>
    </row>
    <row r="885" spans="1:9" x14ac:dyDescent="0.3">
      <c r="A885" s="1" t="s">
        <v>902</v>
      </c>
      <c r="B885" s="1" t="s">
        <v>12</v>
      </c>
      <c r="C885" s="1">
        <v>42</v>
      </c>
      <c r="D885" s="1">
        <v>20</v>
      </c>
      <c r="E885" s="1" t="s">
        <v>13</v>
      </c>
      <c r="F885" s="1">
        <v>15473</v>
      </c>
      <c r="G885" s="1" t="str">
        <f t="shared" si="39"/>
        <v>Sufficient</v>
      </c>
      <c r="H885" s="1">
        <f t="shared" si="40"/>
        <v>649866</v>
      </c>
      <c r="I885" s="1">
        <f t="shared" si="41"/>
        <v>3094.6000000000004</v>
      </c>
    </row>
    <row r="886" spans="1:9" x14ac:dyDescent="0.3">
      <c r="A886" s="1" t="s">
        <v>903</v>
      </c>
      <c r="B886" s="1" t="s">
        <v>18</v>
      </c>
      <c r="C886" s="1">
        <v>50</v>
      </c>
      <c r="D886" s="1">
        <v>41</v>
      </c>
      <c r="E886" s="1" t="s">
        <v>8</v>
      </c>
      <c r="F886" s="1">
        <v>29039</v>
      </c>
      <c r="G886" s="1" t="str">
        <f t="shared" si="39"/>
        <v>Sufficient</v>
      </c>
      <c r="H886" s="1">
        <f t="shared" si="40"/>
        <v>1451950</v>
      </c>
      <c r="I886" s="1">
        <f t="shared" si="41"/>
        <v>5807.8</v>
      </c>
    </row>
    <row r="887" spans="1:9" x14ac:dyDescent="0.3">
      <c r="A887" s="1" t="s">
        <v>904</v>
      </c>
      <c r="B887" s="1" t="s">
        <v>15</v>
      </c>
      <c r="C887" s="1">
        <v>97</v>
      </c>
      <c r="D887" s="1">
        <v>46</v>
      </c>
      <c r="E887" s="1" t="s">
        <v>10</v>
      </c>
      <c r="F887" s="1">
        <v>23416</v>
      </c>
      <c r="G887" s="1" t="str">
        <f t="shared" si="39"/>
        <v>Sufficient</v>
      </c>
      <c r="H887" s="1">
        <f t="shared" si="40"/>
        <v>2271352</v>
      </c>
      <c r="I887" s="1">
        <f t="shared" si="41"/>
        <v>4683.2</v>
      </c>
    </row>
    <row r="888" spans="1:9" x14ac:dyDescent="0.3">
      <c r="A888" s="1" t="s">
        <v>905</v>
      </c>
      <c r="B888" s="1" t="s">
        <v>25</v>
      </c>
      <c r="C888" s="1">
        <v>21</v>
      </c>
      <c r="D888" s="1">
        <v>23</v>
      </c>
      <c r="E888" s="1" t="s">
        <v>13</v>
      </c>
      <c r="F888" s="1">
        <v>64420</v>
      </c>
      <c r="G888" s="1" t="str">
        <f t="shared" si="39"/>
        <v>Low Stock</v>
      </c>
      <c r="H888" s="1">
        <f t="shared" si="40"/>
        <v>1352820</v>
      </c>
      <c r="I888" s="1">
        <f t="shared" si="41"/>
        <v>12884</v>
      </c>
    </row>
    <row r="889" spans="1:9" x14ac:dyDescent="0.3">
      <c r="A889" s="1" t="s">
        <v>906</v>
      </c>
      <c r="B889" s="1" t="s">
        <v>23</v>
      </c>
      <c r="C889" s="1">
        <v>12</v>
      </c>
      <c r="D889" s="1">
        <v>29</v>
      </c>
      <c r="E889" s="1" t="s">
        <v>16</v>
      </c>
      <c r="F889" s="1">
        <v>12642</v>
      </c>
      <c r="G889" s="1" t="str">
        <f t="shared" si="39"/>
        <v>Low Stock</v>
      </c>
      <c r="H889" s="1">
        <f t="shared" si="40"/>
        <v>151704</v>
      </c>
      <c r="I889" s="1">
        <f t="shared" si="41"/>
        <v>2528.4</v>
      </c>
    </row>
    <row r="890" spans="1:9" x14ac:dyDescent="0.3">
      <c r="A890" s="1" t="s">
        <v>907</v>
      </c>
      <c r="B890" s="1" t="s">
        <v>7</v>
      </c>
      <c r="C890" s="1">
        <v>101</v>
      </c>
      <c r="D890" s="1">
        <v>17</v>
      </c>
      <c r="E890" s="1" t="s">
        <v>10</v>
      </c>
      <c r="F890" s="1">
        <v>26729</v>
      </c>
      <c r="G890" s="1" t="str">
        <f t="shared" si="39"/>
        <v>Sufficient</v>
      </c>
      <c r="H890" s="1">
        <f t="shared" si="40"/>
        <v>2699629</v>
      </c>
      <c r="I890" s="1">
        <f t="shared" si="41"/>
        <v>5345.8</v>
      </c>
    </row>
    <row r="891" spans="1:9" x14ac:dyDescent="0.3">
      <c r="A891" s="1" t="s">
        <v>908</v>
      </c>
      <c r="B891" s="1" t="s">
        <v>29</v>
      </c>
      <c r="C891" s="1">
        <v>102</v>
      </c>
      <c r="D891" s="1">
        <v>49</v>
      </c>
      <c r="E891" s="1" t="s">
        <v>26</v>
      </c>
      <c r="F891" s="1">
        <v>20051</v>
      </c>
      <c r="G891" s="1" t="str">
        <f t="shared" si="39"/>
        <v>Sufficient</v>
      </c>
      <c r="H891" s="1">
        <f t="shared" si="40"/>
        <v>2045202</v>
      </c>
      <c r="I891" s="1">
        <f t="shared" si="41"/>
        <v>4010.2000000000003</v>
      </c>
    </row>
    <row r="892" spans="1:9" x14ac:dyDescent="0.3">
      <c r="A892" s="1" t="s">
        <v>909</v>
      </c>
      <c r="B892" s="1" t="s">
        <v>18</v>
      </c>
      <c r="C892" s="1">
        <v>121</v>
      </c>
      <c r="D892" s="1">
        <v>24</v>
      </c>
      <c r="E892" s="1" t="s">
        <v>8</v>
      </c>
      <c r="F892" s="1">
        <v>34048</v>
      </c>
      <c r="G892" s="1" t="str">
        <f t="shared" si="39"/>
        <v>Sufficient</v>
      </c>
      <c r="H892" s="1">
        <f t="shared" si="40"/>
        <v>4119808</v>
      </c>
      <c r="I892" s="1">
        <f t="shared" si="41"/>
        <v>6809.6</v>
      </c>
    </row>
    <row r="893" spans="1:9" x14ac:dyDescent="0.3">
      <c r="A893" s="1" t="s">
        <v>910</v>
      </c>
      <c r="B893" s="1" t="s">
        <v>25</v>
      </c>
      <c r="C893" s="1">
        <v>26</v>
      </c>
      <c r="D893" s="1">
        <v>23</v>
      </c>
      <c r="E893" s="1" t="s">
        <v>10</v>
      </c>
      <c r="F893" s="1">
        <v>13665</v>
      </c>
      <c r="G893" s="1" t="str">
        <f t="shared" si="39"/>
        <v>Sufficient</v>
      </c>
      <c r="H893" s="1">
        <f t="shared" si="40"/>
        <v>355290</v>
      </c>
      <c r="I893" s="1">
        <f t="shared" si="41"/>
        <v>2733</v>
      </c>
    </row>
    <row r="894" spans="1:9" x14ac:dyDescent="0.3">
      <c r="A894" s="1" t="s">
        <v>911</v>
      </c>
      <c r="B894" s="1" t="s">
        <v>25</v>
      </c>
      <c r="C894" s="1">
        <v>2</v>
      </c>
      <c r="D894" s="1">
        <v>25</v>
      </c>
      <c r="E894" s="1" t="s">
        <v>16</v>
      </c>
      <c r="F894" s="1">
        <v>60949</v>
      </c>
      <c r="G894" s="1" t="str">
        <f t="shared" si="39"/>
        <v>Low Stock</v>
      </c>
      <c r="H894" s="1">
        <f t="shared" si="40"/>
        <v>121898</v>
      </c>
      <c r="I894" s="1">
        <f t="shared" si="41"/>
        <v>12189.800000000001</v>
      </c>
    </row>
    <row r="895" spans="1:9" x14ac:dyDescent="0.3">
      <c r="A895" s="1" t="s">
        <v>912</v>
      </c>
      <c r="B895" s="1" t="s">
        <v>7</v>
      </c>
      <c r="C895" s="1">
        <v>75</v>
      </c>
      <c r="D895" s="1">
        <v>50</v>
      </c>
      <c r="E895" s="1" t="s">
        <v>16</v>
      </c>
      <c r="F895" s="1">
        <v>63904</v>
      </c>
      <c r="G895" s="1" t="str">
        <f t="shared" si="39"/>
        <v>Sufficient</v>
      </c>
      <c r="H895" s="1">
        <f t="shared" si="40"/>
        <v>4792800</v>
      </c>
      <c r="I895" s="1">
        <f t="shared" si="41"/>
        <v>12780.800000000001</v>
      </c>
    </row>
    <row r="896" spans="1:9" x14ac:dyDescent="0.3">
      <c r="A896" s="1" t="s">
        <v>913</v>
      </c>
      <c r="B896" s="1" t="s">
        <v>20</v>
      </c>
      <c r="C896" s="1">
        <v>61</v>
      </c>
      <c r="D896" s="1">
        <v>29</v>
      </c>
      <c r="E896" s="1" t="s">
        <v>8</v>
      </c>
      <c r="F896" s="1">
        <v>76144</v>
      </c>
      <c r="G896" s="1" t="str">
        <f t="shared" si="39"/>
        <v>Sufficient</v>
      </c>
      <c r="H896" s="1">
        <f t="shared" si="40"/>
        <v>4644784</v>
      </c>
      <c r="I896" s="1">
        <f t="shared" si="41"/>
        <v>15228.800000000001</v>
      </c>
    </row>
    <row r="897" spans="1:9" x14ac:dyDescent="0.3">
      <c r="A897" s="1" t="s">
        <v>914</v>
      </c>
      <c r="B897" s="1" t="s">
        <v>20</v>
      </c>
      <c r="C897" s="1">
        <v>125</v>
      </c>
      <c r="D897" s="1">
        <v>33</v>
      </c>
      <c r="E897" s="1" t="s">
        <v>16</v>
      </c>
      <c r="F897" s="1">
        <v>49876</v>
      </c>
      <c r="G897" s="1" t="str">
        <f t="shared" si="39"/>
        <v>Sufficient</v>
      </c>
      <c r="H897" s="1">
        <f t="shared" si="40"/>
        <v>6234500</v>
      </c>
      <c r="I897" s="1">
        <f t="shared" si="41"/>
        <v>9975.2000000000007</v>
      </c>
    </row>
    <row r="898" spans="1:9" x14ac:dyDescent="0.3">
      <c r="A898" s="1" t="s">
        <v>915</v>
      </c>
      <c r="B898" s="1" t="s">
        <v>23</v>
      </c>
      <c r="C898" s="1">
        <v>45</v>
      </c>
      <c r="D898" s="1">
        <v>24</v>
      </c>
      <c r="E898" s="1" t="s">
        <v>13</v>
      </c>
      <c r="F898" s="1">
        <v>66459</v>
      </c>
      <c r="G898" s="1" t="str">
        <f t="shared" si="39"/>
        <v>Sufficient</v>
      </c>
      <c r="H898" s="1">
        <f t="shared" si="40"/>
        <v>2990655</v>
      </c>
      <c r="I898" s="1">
        <f t="shared" si="41"/>
        <v>13291.800000000001</v>
      </c>
    </row>
    <row r="899" spans="1:9" x14ac:dyDescent="0.3">
      <c r="A899" s="1" t="s">
        <v>916</v>
      </c>
      <c r="B899" s="1" t="s">
        <v>20</v>
      </c>
      <c r="C899" s="1">
        <v>166</v>
      </c>
      <c r="D899" s="1">
        <v>18</v>
      </c>
      <c r="E899" s="1" t="s">
        <v>10</v>
      </c>
      <c r="F899" s="1">
        <v>28540</v>
      </c>
      <c r="G899" s="1" t="str">
        <f t="shared" ref="G899:G962" si="42">IF(C899=0,"Pending",IF(C899&lt;=D899,"Low Stock", "Sufficient"))</f>
        <v>Sufficient</v>
      </c>
      <c r="H899" s="1">
        <f t="shared" ref="H899:H962" si="43">C899*F899</f>
        <v>4737640</v>
      </c>
      <c r="I899" s="1">
        <f t="shared" ref="I899:I962" si="44">F899*0.2</f>
        <v>5708</v>
      </c>
    </row>
    <row r="900" spans="1:9" x14ac:dyDescent="0.3">
      <c r="A900" s="1" t="s">
        <v>917</v>
      </c>
      <c r="B900" s="1" t="s">
        <v>29</v>
      </c>
      <c r="C900" s="1">
        <v>50</v>
      </c>
      <c r="D900" s="1">
        <v>39</v>
      </c>
      <c r="E900" s="1" t="s">
        <v>8</v>
      </c>
      <c r="F900" s="1">
        <v>36876</v>
      </c>
      <c r="G900" s="1" t="str">
        <f t="shared" si="42"/>
        <v>Sufficient</v>
      </c>
      <c r="H900" s="1">
        <f t="shared" si="43"/>
        <v>1843800</v>
      </c>
      <c r="I900" s="1">
        <f t="shared" si="44"/>
        <v>7375.2000000000007</v>
      </c>
    </row>
    <row r="901" spans="1:9" x14ac:dyDescent="0.3">
      <c r="A901" s="1" t="s">
        <v>918</v>
      </c>
      <c r="B901" s="1" t="s">
        <v>29</v>
      </c>
      <c r="C901" s="1">
        <v>50</v>
      </c>
      <c r="D901" s="1">
        <v>41</v>
      </c>
      <c r="E901" s="1" t="s">
        <v>10</v>
      </c>
      <c r="F901" s="1">
        <v>16489</v>
      </c>
      <c r="G901" s="1" t="str">
        <f t="shared" si="42"/>
        <v>Sufficient</v>
      </c>
      <c r="H901" s="1">
        <f t="shared" si="43"/>
        <v>824450</v>
      </c>
      <c r="I901" s="1">
        <f t="shared" si="44"/>
        <v>3297.8</v>
      </c>
    </row>
    <row r="902" spans="1:9" x14ac:dyDescent="0.3">
      <c r="A902" s="1" t="s">
        <v>919</v>
      </c>
      <c r="B902" s="1" t="s">
        <v>29</v>
      </c>
      <c r="C902" s="1">
        <v>66</v>
      </c>
      <c r="D902" s="1">
        <v>13</v>
      </c>
      <c r="E902" s="1" t="s">
        <v>13</v>
      </c>
      <c r="F902" s="1">
        <v>75885</v>
      </c>
      <c r="G902" s="1" t="str">
        <f t="shared" si="42"/>
        <v>Sufficient</v>
      </c>
      <c r="H902" s="1">
        <f t="shared" si="43"/>
        <v>5008410</v>
      </c>
      <c r="I902" s="1">
        <f t="shared" si="44"/>
        <v>15177</v>
      </c>
    </row>
    <row r="903" spans="1:9" x14ac:dyDescent="0.3">
      <c r="A903" s="1" t="s">
        <v>920</v>
      </c>
      <c r="B903" s="1" t="s">
        <v>15</v>
      </c>
      <c r="C903" s="1">
        <v>89</v>
      </c>
      <c r="D903" s="1">
        <v>41</v>
      </c>
      <c r="E903" s="1" t="s">
        <v>8</v>
      </c>
      <c r="F903" s="1">
        <v>71892</v>
      </c>
      <c r="G903" s="1" t="str">
        <f t="shared" si="42"/>
        <v>Sufficient</v>
      </c>
      <c r="H903" s="1">
        <f t="shared" si="43"/>
        <v>6398388</v>
      </c>
      <c r="I903" s="1">
        <f t="shared" si="44"/>
        <v>14378.400000000001</v>
      </c>
    </row>
    <row r="904" spans="1:9" x14ac:dyDescent="0.3">
      <c r="A904" s="1" t="s">
        <v>921</v>
      </c>
      <c r="B904" s="1" t="s">
        <v>7</v>
      </c>
      <c r="C904" s="1">
        <v>51</v>
      </c>
      <c r="D904" s="1">
        <v>50</v>
      </c>
      <c r="E904" s="1" t="s">
        <v>8</v>
      </c>
      <c r="F904" s="1">
        <v>17607</v>
      </c>
      <c r="G904" s="1" t="str">
        <f t="shared" si="42"/>
        <v>Sufficient</v>
      </c>
      <c r="H904" s="1">
        <f t="shared" si="43"/>
        <v>897957</v>
      </c>
      <c r="I904" s="1">
        <f t="shared" si="44"/>
        <v>3521.4</v>
      </c>
    </row>
    <row r="905" spans="1:9" x14ac:dyDescent="0.3">
      <c r="A905" s="1" t="s">
        <v>922</v>
      </c>
      <c r="B905" s="1" t="s">
        <v>12</v>
      </c>
      <c r="C905" s="1">
        <v>130</v>
      </c>
      <c r="D905" s="1">
        <v>16</v>
      </c>
      <c r="E905" s="1" t="s">
        <v>10</v>
      </c>
      <c r="F905" s="1">
        <v>72414</v>
      </c>
      <c r="G905" s="1" t="str">
        <f t="shared" si="42"/>
        <v>Sufficient</v>
      </c>
      <c r="H905" s="1">
        <f t="shared" si="43"/>
        <v>9413820</v>
      </c>
      <c r="I905" s="1">
        <f t="shared" si="44"/>
        <v>14482.800000000001</v>
      </c>
    </row>
    <row r="906" spans="1:9" x14ac:dyDescent="0.3">
      <c r="A906" s="1" t="s">
        <v>923</v>
      </c>
      <c r="B906" s="1" t="s">
        <v>12</v>
      </c>
      <c r="C906" s="1">
        <v>27</v>
      </c>
      <c r="D906" s="1">
        <v>27</v>
      </c>
      <c r="E906" s="1" t="s">
        <v>8</v>
      </c>
      <c r="F906" s="1">
        <v>71530</v>
      </c>
      <c r="G906" s="1" t="str">
        <f t="shared" si="42"/>
        <v>Low Stock</v>
      </c>
      <c r="H906" s="1">
        <f t="shared" si="43"/>
        <v>1931310</v>
      </c>
      <c r="I906" s="1">
        <f t="shared" si="44"/>
        <v>14306</v>
      </c>
    </row>
    <row r="907" spans="1:9" x14ac:dyDescent="0.3">
      <c r="A907" s="1" t="s">
        <v>924</v>
      </c>
      <c r="B907" s="1" t="s">
        <v>12</v>
      </c>
      <c r="C907" s="1">
        <v>121</v>
      </c>
      <c r="D907" s="1">
        <v>43</v>
      </c>
      <c r="E907" s="1" t="s">
        <v>13</v>
      </c>
      <c r="F907" s="1">
        <v>20670</v>
      </c>
      <c r="G907" s="1" t="str">
        <f t="shared" si="42"/>
        <v>Sufficient</v>
      </c>
      <c r="H907" s="1">
        <f t="shared" si="43"/>
        <v>2501070</v>
      </c>
      <c r="I907" s="1">
        <f t="shared" si="44"/>
        <v>4134</v>
      </c>
    </row>
    <row r="908" spans="1:9" x14ac:dyDescent="0.3">
      <c r="A908" s="1" t="s">
        <v>925</v>
      </c>
      <c r="B908" s="1" t="s">
        <v>23</v>
      </c>
      <c r="C908" s="1">
        <v>74</v>
      </c>
      <c r="D908" s="1">
        <v>47</v>
      </c>
      <c r="E908" s="1" t="s">
        <v>8</v>
      </c>
      <c r="F908" s="1">
        <v>12719</v>
      </c>
      <c r="G908" s="1" t="str">
        <f t="shared" si="42"/>
        <v>Sufficient</v>
      </c>
      <c r="H908" s="1">
        <f t="shared" si="43"/>
        <v>941206</v>
      </c>
      <c r="I908" s="1">
        <f t="shared" si="44"/>
        <v>2543.8000000000002</v>
      </c>
    </row>
    <row r="909" spans="1:9" x14ac:dyDescent="0.3">
      <c r="A909" s="1" t="s">
        <v>926</v>
      </c>
      <c r="B909" s="1" t="s">
        <v>7</v>
      </c>
      <c r="C909" s="1">
        <v>94</v>
      </c>
      <c r="D909" s="1">
        <v>11</v>
      </c>
      <c r="E909" s="1" t="s">
        <v>16</v>
      </c>
      <c r="F909" s="1">
        <v>61576</v>
      </c>
      <c r="G909" s="1" t="str">
        <f t="shared" si="42"/>
        <v>Sufficient</v>
      </c>
      <c r="H909" s="1">
        <f t="shared" si="43"/>
        <v>5788144</v>
      </c>
      <c r="I909" s="1">
        <f t="shared" si="44"/>
        <v>12315.2</v>
      </c>
    </row>
    <row r="910" spans="1:9" x14ac:dyDescent="0.3">
      <c r="A910" s="1" t="s">
        <v>927</v>
      </c>
      <c r="B910" s="1" t="s">
        <v>23</v>
      </c>
      <c r="C910" s="1">
        <v>146</v>
      </c>
      <c r="D910" s="1">
        <v>28</v>
      </c>
      <c r="E910" s="1" t="s">
        <v>8</v>
      </c>
      <c r="F910" s="1">
        <v>61045</v>
      </c>
      <c r="G910" s="1" t="str">
        <f t="shared" si="42"/>
        <v>Sufficient</v>
      </c>
      <c r="H910" s="1">
        <f t="shared" si="43"/>
        <v>8912570</v>
      </c>
      <c r="I910" s="1">
        <f t="shared" si="44"/>
        <v>12209</v>
      </c>
    </row>
    <row r="911" spans="1:9" x14ac:dyDescent="0.3">
      <c r="A911" s="1" t="s">
        <v>928</v>
      </c>
      <c r="B911" s="1" t="s">
        <v>12</v>
      </c>
      <c r="C911" s="1">
        <v>111</v>
      </c>
      <c r="D911" s="1">
        <v>29</v>
      </c>
      <c r="E911" s="1" t="s">
        <v>26</v>
      </c>
      <c r="F911" s="1">
        <v>11871</v>
      </c>
      <c r="G911" s="1" t="str">
        <f t="shared" si="42"/>
        <v>Sufficient</v>
      </c>
      <c r="H911" s="1">
        <f t="shared" si="43"/>
        <v>1317681</v>
      </c>
      <c r="I911" s="1">
        <f t="shared" si="44"/>
        <v>2374.2000000000003</v>
      </c>
    </row>
    <row r="912" spans="1:9" x14ac:dyDescent="0.3">
      <c r="A912" s="1" t="s">
        <v>929</v>
      </c>
      <c r="B912" s="1" t="s">
        <v>12</v>
      </c>
      <c r="C912" s="1">
        <v>187</v>
      </c>
      <c r="D912" s="1">
        <v>48</v>
      </c>
      <c r="E912" s="1" t="s">
        <v>10</v>
      </c>
      <c r="F912" s="1">
        <v>55605</v>
      </c>
      <c r="G912" s="1" t="str">
        <f t="shared" si="42"/>
        <v>Sufficient</v>
      </c>
      <c r="H912" s="1">
        <f t="shared" si="43"/>
        <v>10398135</v>
      </c>
      <c r="I912" s="1">
        <f t="shared" si="44"/>
        <v>11121</v>
      </c>
    </row>
    <row r="913" spans="1:9" x14ac:dyDescent="0.3">
      <c r="A913" s="1" t="s">
        <v>930</v>
      </c>
      <c r="B913" s="1" t="s">
        <v>23</v>
      </c>
      <c r="C913" s="1">
        <v>147</v>
      </c>
      <c r="D913" s="1">
        <v>13</v>
      </c>
      <c r="E913" s="1" t="s">
        <v>8</v>
      </c>
      <c r="F913" s="1">
        <v>20329</v>
      </c>
      <c r="G913" s="1" t="str">
        <f t="shared" si="42"/>
        <v>Sufficient</v>
      </c>
      <c r="H913" s="1">
        <f t="shared" si="43"/>
        <v>2988363</v>
      </c>
      <c r="I913" s="1">
        <f t="shared" si="44"/>
        <v>4065.8</v>
      </c>
    </row>
    <row r="914" spans="1:9" x14ac:dyDescent="0.3">
      <c r="A914" s="1" t="s">
        <v>931</v>
      </c>
      <c r="B914" s="1" t="s">
        <v>25</v>
      </c>
      <c r="C914" s="1">
        <v>172</v>
      </c>
      <c r="D914" s="1">
        <v>43</v>
      </c>
      <c r="E914" s="1" t="s">
        <v>16</v>
      </c>
      <c r="F914" s="1">
        <v>64852</v>
      </c>
      <c r="G914" s="1" t="str">
        <f t="shared" si="42"/>
        <v>Sufficient</v>
      </c>
      <c r="H914" s="1">
        <f t="shared" si="43"/>
        <v>11154544</v>
      </c>
      <c r="I914" s="1">
        <f t="shared" si="44"/>
        <v>12970.400000000001</v>
      </c>
    </row>
    <row r="915" spans="1:9" x14ac:dyDescent="0.3">
      <c r="A915" s="1" t="s">
        <v>932</v>
      </c>
      <c r="B915" s="1" t="s">
        <v>23</v>
      </c>
      <c r="C915" s="1">
        <v>59</v>
      </c>
      <c r="D915" s="1">
        <v>25</v>
      </c>
      <c r="E915" s="1" t="s">
        <v>10</v>
      </c>
      <c r="F915" s="1">
        <v>21366</v>
      </c>
      <c r="G915" s="1" t="str">
        <f t="shared" si="42"/>
        <v>Sufficient</v>
      </c>
      <c r="H915" s="1">
        <f t="shared" si="43"/>
        <v>1260594</v>
      </c>
      <c r="I915" s="1">
        <f t="shared" si="44"/>
        <v>4273.2</v>
      </c>
    </row>
    <row r="916" spans="1:9" x14ac:dyDescent="0.3">
      <c r="A916" s="1" t="s">
        <v>933</v>
      </c>
      <c r="B916" s="1" t="s">
        <v>23</v>
      </c>
      <c r="C916" s="1">
        <v>27</v>
      </c>
      <c r="D916" s="1">
        <v>36</v>
      </c>
      <c r="E916" s="1" t="s">
        <v>10</v>
      </c>
      <c r="F916" s="1">
        <v>38231</v>
      </c>
      <c r="G916" s="1" t="str">
        <f t="shared" si="42"/>
        <v>Low Stock</v>
      </c>
      <c r="H916" s="1">
        <f t="shared" si="43"/>
        <v>1032237</v>
      </c>
      <c r="I916" s="1">
        <f t="shared" si="44"/>
        <v>7646.2000000000007</v>
      </c>
    </row>
    <row r="917" spans="1:9" x14ac:dyDescent="0.3">
      <c r="A917" s="1" t="s">
        <v>934</v>
      </c>
      <c r="B917" s="1" t="s">
        <v>18</v>
      </c>
      <c r="C917" s="1">
        <v>68</v>
      </c>
      <c r="D917" s="1">
        <v>43</v>
      </c>
      <c r="E917" s="1" t="s">
        <v>13</v>
      </c>
      <c r="F917" s="1">
        <v>59044</v>
      </c>
      <c r="G917" s="1" t="str">
        <f t="shared" si="42"/>
        <v>Sufficient</v>
      </c>
      <c r="H917" s="1">
        <f t="shared" si="43"/>
        <v>4014992</v>
      </c>
      <c r="I917" s="1">
        <f t="shared" si="44"/>
        <v>11808.800000000001</v>
      </c>
    </row>
    <row r="918" spans="1:9" x14ac:dyDescent="0.3">
      <c r="A918" s="1" t="s">
        <v>935</v>
      </c>
      <c r="B918" s="1" t="s">
        <v>20</v>
      </c>
      <c r="C918" s="1">
        <v>103</v>
      </c>
      <c r="D918" s="1">
        <v>19</v>
      </c>
      <c r="E918" s="1" t="s">
        <v>13</v>
      </c>
      <c r="F918" s="1">
        <v>5531</v>
      </c>
      <c r="G918" s="1" t="str">
        <f t="shared" si="42"/>
        <v>Sufficient</v>
      </c>
      <c r="H918" s="1">
        <f t="shared" si="43"/>
        <v>569693</v>
      </c>
      <c r="I918" s="1">
        <f t="shared" si="44"/>
        <v>1106.2</v>
      </c>
    </row>
    <row r="919" spans="1:9" x14ac:dyDescent="0.3">
      <c r="A919" s="1" t="s">
        <v>936</v>
      </c>
      <c r="B919" s="1" t="s">
        <v>12</v>
      </c>
      <c r="C919" s="1">
        <v>103</v>
      </c>
      <c r="D919" s="1">
        <v>41</v>
      </c>
      <c r="E919" s="1" t="s">
        <v>26</v>
      </c>
      <c r="F919" s="1">
        <v>5573</v>
      </c>
      <c r="G919" s="1" t="str">
        <f t="shared" si="42"/>
        <v>Sufficient</v>
      </c>
      <c r="H919" s="1">
        <f t="shared" si="43"/>
        <v>574019</v>
      </c>
      <c r="I919" s="1">
        <f t="shared" si="44"/>
        <v>1114.6000000000001</v>
      </c>
    </row>
    <row r="920" spans="1:9" x14ac:dyDescent="0.3">
      <c r="A920" s="1" t="s">
        <v>937</v>
      </c>
      <c r="B920" s="1" t="s">
        <v>12</v>
      </c>
      <c r="C920" s="1">
        <v>163</v>
      </c>
      <c r="D920" s="1">
        <v>49</v>
      </c>
      <c r="E920" s="1" t="s">
        <v>8</v>
      </c>
      <c r="F920" s="1">
        <v>12209</v>
      </c>
      <c r="G920" s="1" t="str">
        <f t="shared" si="42"/>
        <v>Sufficient</v>
      </c>
      <c r="H920" s="1">
        <f t="shared" si="43"/>
        <v>1990067</v>
      </c>
      <c r="I920" s="1">
        <f t="shared" si="44"/>
        <v>2441.8000000000002</v>
      </c>
    </row>
    <row r="921" spans="1:9" x14ac:dyDescent="0.3">
      <c r="A921" s="1" t="s">
        <v>938</v>
      </c>
      <c r="B921" s="1" t="s">
        <v>25</v>
      </c>
      <c r="C921" s="1">
        <v>150</v>
      </c>
      <c r="D921" s="1">
        <v>21</v>
      </c>
      <c r="E921" s="1" t="s">
        <v>10</v>
      </c>
      <c r="F921" s="1">
        <v>990</v>
      </c>
      <c r="G921" s="1" t="str">
        <f t="shared" si="42"/>
        <v>Sufficient</v>
      </c>
      <c r="H921" s="1">
        <f t="shared" si="43"/>
        <v>148500</v>
      </c>
      <c r="I921" s="1">
        <f t="shared" si="44"/>
        <v>198</v>
      </c>
    </row>
    <row r="922" spans="1:9" x14ac:dyDescent="0.3">
      <c r="A922" s="1" t="s">
        <v>939</v>
      </c>
      <c r="B922" s="1" t="s">
        <v>12</v>
      </c>
      <c r="C922" s="1">
        <v>10</v>
      </c>
      <c r="D922" s="1">
        <v>31</v>
      </c>
      <c r="E922" s="1" t="s">
        <v>8</v>
      </c>
      <c r="F922" s="1">
        <v>34156</v>
      </c>
      <c r="G922" s="1" t="str">
        <f t="shared" si="42"/>
        <v>Low Stock</v>
      </c>
      <c r="H922" s="1">
        <f t="shared" si="43"/>
        <v>341560</v>
      </c>
      <c r="I922" s="1">
        <f t="shared" si="44"/>
        <v>6831.2000000000007</v>
      </c>
    </row>
    <row r="923" spans="1:9" x14ac:dyDescent="0.3">
      <c r="A923" s="1" t="s">
        <v>940</v>
      </c>
      <c r="B923" s="1" t="s">
        <v>23</v>
      </c>
      <c r="C923" s="1">
        <v>101</v>
      </c>
      <c r="D923" s="1">
        <v>35</v>
      </c>
      <c r="E923" s="1" t="s">
        <v>16</v>
      </c>
      <c r="F923" s="1">
        <v>26766</v>
      </c>
      <c r="G923" s="1" t="str">
        <f t="shared" si="42"/>
        <v>Sufficient</v>
      </c>
      <c r="H923" s="1">
        <f t="shared" si="43"/>
        <v>2703366</v>
      </c>
      <c r="I923" s="1">
        <f t="shared" si="44"/>
        <v>5353.2000000000007</v>
      </c>
    </row>
    <row r="924" spans="1:9" x14ac:dyDescent="0.3">
      <c r="A924" s="1" t="s">
        <v>941</v>
      </c>
      <c r="B924" s="1" t="s">
        <v>18</v>
      </c>
      <c r="C924" s="1">
        <v>148</v>
      </c>
      <c r="D924" s="1">
        <v>42</v>
      </c>
      <c r="E924" s="1" t="s">
        <v>8</v>
      </c>
      <c r="F924" s="1">
        <v>31019</v>
      </c>
      <c r="G924" s="1" t="str">
        <f t="shared" si="42"/>
        <v>Sufficient</v>
      </c>
      <c r="H924" s="1">
        <f t="shared" si="43"/>
        <v>4590812</v>
      </c>
      <c r="I924" s="1">
        <f t="shared" si="44"/>
        <v>6203.8</v>
      </c>
    </row>
    <row r="925" spans="1:9" x14ac:dyDescent="0.3">
      <c r="A925" s="1" t="s">
        <v>942</v>
      </c>
      <c r="B925" s="1" t="s">
        <v>7</v>
      </c>
      <c r="C925" s="1">
        <v>96</v>
      </c>
      <c r="D925" s="1">
        <v>16</v>
      </c>
      <c r="E925" s="1" t="s">
        <v>8</v>
      </c>
      <c r="F925" s="1">
        <v>22830</v>
      </c>
      <c r="G925" s="1" t="str">
        <f t="shared" si="42"/>
        <v>Sufficient</v>
      </c>
      <c r="H925" s="1">
        <f t="shared" si="43"/>
        <v>2191680</v>
      </c>
      <c r="I925" s="1">
        <f t="shared" si="44"/>
        <v>4566</v>
      </c>
    </row>
    <row r="926" spans="1:9" x14ac:dyDescent="0.3">
      <c r="A926" s="1" t="s">
        <v>943</v>
      </c>
      <c r="B926" s="1" t="s">
        <v>15</v>
      </c>
      <c r="C926" s="1">
        <v>57</v>
      </c>
      <c r="D926" s="1">
        <v>45</v>
      </c>
      <c r="E926" s="1" t="s">
        <v>8</v>
      </c>
      <c r="F926" s="1">
        <v>57045</v>
      </c>
      <c r="G926" s="1" t="str">
        <f t="shared" si="42"/>
        <v>Sufficient</v>
      </c>
      <c r="H926" s="1">
        <f t="shared" si="43"/>
        <v>3251565</v>
      </c>
      <c r="I926" s="1">
        <f t="shared" si="44"/>
        <v>11409</v>
      </c>
    </row>
    <row r="927" spans="1:9" x14ac:dyDescent="0.3">
      <c r="A927" s="1" t="s">
        <v>944</v>
      </c>
      <c r="B927" s="1" t="s">
        <v>23</v>
      </c>
      <c r="C927" s="1">
        <v>93</v>
      </c>
      <c r="D927" s="1">
        <v>15</v>
      </c>
      <c r="E927" s="1" t="s">
        <v>16</v>
      </c>
      <c r="F927" s="1">
        <v>57313</v>
      </c>
      <c r="G927" s="1" t="str">
        <f t="shared" si="42"/>
        <v>Sufficient</v>
      </c>
      <c r="H927" s="1">
        <f t="shared" si="43"/>
        <v>5330109</v>
      </c>
      <c r="I927" s="1">
        <f t="shared" si="44"/>
        <v>11462.6</v>
      </c>
    </row>
    <row r="928" spans="1:9" x14ac:dyDescent="0.3">
      <c r="A928" s="1" t="s">
        <v>945</v>
      </c>
      <c r="B928" s="1" t="s">
        <v>15</v>
      </c>
      <c r="C928" s="1">
        <v>124</v>
      </c>
      <c r="D928" s="1">
        <v>24</v>
      </c>
      <c r="E928" s="1" t="s">
        <v>8</v>
      </c>
      <c r="F928" s="1">
        <v>53831</v>
      </c>
      <c r="G928" s="1" t="str">
        <f t="shared" si="42"/>
        <v>Sufficient</v>
      </c>
      <c r="H928" s="1">
        <f t="shared" si="43"/>
        <v>6675044</v>
      </c>
      <c r="I928" s="1">
        <f t="shared" si="44"/>
        <v>10766.2</v>
      </c>
    </row>
    <row r="929" spans="1:9" x14ac:dyDescent="0.3">
      <c r="A929" s="1" t="s">
        <v>946</v>
      </c>
      <c r="B929" s="1" t="s">
        <v>7</v>
      </c>
      <c r="C929" s="1">
        <v>186</v>
      </c>
      <c r="D929" s="1">
        <v>39</v>
      </c>
      <c r="E929" s="1" t="s">
        <v>26</v>
      </c>
      <c r="F929" s="1">
        <v>59235</v>
      </c>
      <c r="G929" s="1" t="str">
        <f t="shared" si="42"/>
        <v>Sufficient</v>
      </c>
      <c r="H929" s="1">
        <f t="shared" si="43"/>
        <v>11017710</v>
      </c>
      <c r="I929" s="1">
        <f t="shared" si="44"/>
        <v>11847</v>
      </c>
    </row>
    <row r="930" spans="1:9" x14ac:dyDescent="0.3">
      <c r="A930" s="1" t="s">
        <v>947</v>
      </c>
      <c r="B930" s="1" t="s">
        <v>7</v>
      </c>
      <c r="C930" s="1">
        <v>136</v>
      </c>
      <c r="D930" s="1">
        <v>34</v>
      </c>
      <c r="E930" s="1" t="s">
        <v>13</v>
      </c>
      <c r="F930" s="1">
        <v>67640</v>
      </c>
      <c r="G930" s="1" t="str">
        <f t="shared" si="42"/>
        <v>Sufficient</v>
      </c>
      <c r="H930" s="1">
        <f t="shared" si="43"/>
        <v>9199040</v>
      </c>
      <c r="I930" s="1">
        <f t="shared" si="44"/>
        <v>13528</v>
      </c>
    </row>
    <row r="931" spans="1:9" x14ac:dyDescent="0.3">
      <c r="A931" s="1" t="s">
        <v>948</v>
      </c>
      <c r="B931" s="1" t="s">
        <v>7</v>
      </c>
      <c r="C931" s="1">
        <v>110</v>
      </c>
      <c r="D931" s="1">
        <v>10</v>
      </c>
      <c r="E931" s="1" t="s">
        <v>10</v>
      </c>
      <c r="F931" s="1">
        <v>33954</v>
      </c>
      <c r="G931" s="1" t="str">
        <f t="shared" si="42"/>
        <v>Sufficient</v>
      </c>
      <c r="H931" s="1">
        <f t="shared" si="43"/>
        <v>3734940</v>
      </c>
      <c r="I931" s="1">
        <f t="shared" si="44"/>
        <v>6790.8</v>
      </c>
    </row>
    <row r="932" spans="1:9" x14ac:dyDescent="0.3">
      <c r="A932" s="1" t="s">
        <v>949</v>
      </c>
      <c r="B932" s="1" t="s">
        <v>15</v>
      </c>
      <c r="C932" s="1">
        <v>22</v>
      </c>
      <c r="D932" s="1">
        <v>16</v>
      </c>
      <c r="E932" s="1" t="s">
        <v>10</v>
      </c>
      <c r="F932" s="1">
        <v>66274</v>
      </c>
      <c r="G932" s="1" t="str">
        <f t="shared" si="42"/>
        <v>Sufficient</v>
      </c>
      <c r="H932" s="1">
        <f t="shared" si="43"/>
        <v>1458028</v>
      </c>
      <c r="I932" s="1">
        <f t="shared" si="44"/>
        <v>13254.800000000001</v>
      </c>
    </row>
    <row r="933" spans="1:9" x14ac:dyDescent="0.3">
      <c r="A933" s="1" t="s">
        <v>950</v>
      </c>
      <c r="B933" s="1" t="s">
        <v>25</v>
      </c>
      <c r="C933" s="1">
        <v>74</v>
      </c>
      <c r="D933" s="1">
        <v>15</v>
      </c>
      <c r="E933" s="1" t="s">
        <v>26</v>
      </c>
      <c r="F933" s="1">
        <v>35166</v>
      </c>
      <c r="G933" s="1" t="str">
        <f t="shared" si="42"/>
        <v>Sufficient</v>
      </c>
      <c r="H933" s="1">
        <f t="shared" si="43"/>
        <v>2602284</v>
      </c>
      <c r="I933" s="1">
        <f t="shared" si="44"/>
        <v>7033.2000000000007</v>
      </c>
    </row>
    <row r="934" spans="1:9" x14ac:dyDescent="0.3">
      <c r="A934" s="1" t="s">
        <v>951</v>
      </c>
      <c r="B934" s="1" t="s">
        <v>12</v>
      </c>
      <c r="C934" s="1">
        <v>81</v>
      </c>
      <c r="D934" s="1">
        <v>48</v>
      </c>
      <c r="E934" s="1" t="s">
        <v>10</v>
      </c>
      <c r="F934" s="1">
        <v>72354</v>
      </c>
      <c r="G934" s="1" t="str">
        <f t="shared" si="42"/>
        <v>Sufficient</v>
      </c>
      <c r="H934" s="1">
        <f t="shared" si="43"/>
        <v>5860674</v>
      </c>
      <c r="I934" s="1">
        <f t="shared" si="44"/>
        <v>14470.800000000001</v>
      </c>
    </row>
    <row r="935" spans="1:9" x14ac:dyDescent="0.3">
      <c r="A935" s="1" t="s">
        <v>952</v>
      </c>
      <c r="B935" s="1" t="s">
        <v>15</v>
      </c>
      <c r="C935" s="1">
        <v>65</v>
      </c>
      <c r="D935" s="1">
        <v>44</v>
      </c>
      <c r="E935" s="1" t="s">
        <v>16</v>
      </c>
      <c r="F935" s="1">
        <v>3853</v>
      </c>
      <c r="G935" s="1" t="str">
        <f t="shared" si="42"/>
        <v>Sufficient</v>
      </c>
      <c r="H935" s="1">
        <f t="shared" si="43"/>
        <v>250445</v>
      </c>
      <c r="I935" s="1">
        <f t="shared" si="44"/>
        <v>770.6</v>
      </c>
    </row>
    <row r="936" spans="1:9" x14ac:dyDescent="0.3">
      <c r="A936" s="1" t="s">
        <v>953</v>
      </c>
      <c r="B936" s="1" t="s">
        <v>18</v>
      </c>
      <c r="C936" s="1">
        <v>168</v>
      </c>
      <c r="D936" s="1">
        <v>24</v>
      </c>
      <c r="E936" s="1" t="s">
        <v>13</v>
      </c>
      <c r="F936" s="1">
        <v>30819</v>
      </c>
      <c r="G936" s="1" t="str">
        <f t="shared" si="42"/>
        <v>Sufficient</v>
      </c>
      <c r="H936" s="1">
        <f t="shared" si="43"/>
        <v>5177592</v>
      </c>
      <c r="I936" s="1">
        <f t="shared" si="44"/>
        <v>6163.8</v>
      </c>
    </row>
    <row r="937" spans="1:9" x14ac:dyDescent="0.3">
      <c r="A937" s="1" t="s">
        <v>954</v>
      </c>
      <c r="B937" s="1" t="s">
        <v>29</v>
      </c>
      <c r="C937" s="1">
        <v>40</v>
      </c>
      <c r="D937" s="1">
        <v>29</v>
      </c>
      <c r="E937" s="1" t="s">
        <v>8</v>
      </c>
      <c r="F937" s="1">
        <v>2052</v>
      </c>
      <c r="G937" s="1" t="str">
        <f t="shared" si="42"/>
        <v>Sufficient</v>
      </c>
      <c r="H937" s="1">
        <f t="shared" si="43"/>
        <v>82080</v>
      </c>
      <c r="I937" s="1">
        <f t="shared" si="44"/>
        <v>410.40000000000003</v>
      </c>
    </row>
    <row r="938" spans="1:9" x14ac:dyDescent="0.3">
      <c r="A938" s="1" t="s">
        <v>955</v>
      </c>
      <c r="B938" s="1" t="s">
        <v>7</v>
      </c>
      <c r="C938" s="1">
        <v>113</v>
      </c>
      <c r="D938" s="1">
        <v>16</v>
      </c>
      <c r="E938" s="1" t="s">
        <v>8</v>
      </c>
      <c r="F938" s="1">
        <v>22095</v>
      </c>
      <c r="G938" s="1" t="str">
        <f t="shared" si="42"/>
        <v>Sufficient</v>
      </c>
      <c r="H938" s="1">
        <f t="shared" si="43"/>
        <v>2496735</v>
      </c>
      <c r="I938" s="1">
        <f t="shared" si="44"/>
        <v>4419</v>
      </c>
    </row>
    <row r="939" spans="1:9" x14ac:dyDescent="0.3">
      <c r="A939" s="1" t="s">
        <v>956</v>
      </c>
      <c r="B939" s="1" t="s">
        <v>23</v>
      </c>
      <c r="C939" s="1">
        <v>168</v>
      </c>
      <c r="D939" s="1">
        <v>18</v>
      </c>
      <c r="E939" s="1" t="s">
        <v>16</v>
      </c>
      <c r="F939" s="1">
        <v>68476</v>
      </c>
      <c r="G939" s="1" t="str">
        <f t="shared" si="42"/>
        <v>Sufficient</v>
      </c>
      <c r="H939" s="1">
        <f t="shared" si="43"/>
        <v>11503968</v>
      </c>
      <c r="I939" s="1">
        <f t="shared" si="44"/>
        <v>13695.2</v>
      </c>
    </row>
    <row r="940" spans="1:9" x14ac:dyDescent="0.3">
      <c r="A940" s="1" t="s">
        <v>957</v>
      </c>
      <c r="B940" s="1" t="s">
        <v>15</v>
      </c>
      <c r="C940" s="1">
        <v>138</v>
      </c>
      <c r="D940" s="1">
        <v>40</v>
      </c>
      <c r="E940" s="1" t="s">
        <v>26</v>
      </c>
      <c r="F940" s="1">
        <v>54233</v>
      </c>
      <c r="G940" s="1" t="str">
        <f t="shared" si="42"/>
        <v>Sufficient</v>
      </c>
      <c r="H940" s="1">
        <f t="shared" si="43"/>
        <v>7484154</v>
      </c>
      <c r="I940" s="1">
        <f t="shared" si="44"/>
        <v>10846.6</v>
      </c>
    </row>
    <row r="941" spans="1:9" x14ac:dyDescent="0.3">
      <c r="A941" s="1" t="s">
        <v>958</v>
      </c>
      <c r="B941" s="1" t="s">
        <v>15</v>
      </c>
      <c r="C941" s="1">
        <v>32</v>
      </c>
      <c r="D941" s="1">
        <v>16</v>
      </c>
      <c r="E941" s="1" t="s">
        <v>26</v>
      </c>
      <c r="F941" s="1">
        <v>30906</v>
      </c>
      <c r="G941" s="1" t="str">
        <f t="shared" si="42"/>
        <v>Sufficient</v>
      </c>
      <c r="H941" s="1">
        <f t="shared" si="43"/>
        <v>988992</v>
      </c>
      <c r="I941" s="1">
        <f t="shared" si="44"/>
        <v>6181.2000000000007</v>
      </c>
    </row>
    <row r="942" spans="1:9" x14ac:dyDescent="0.3">
      <c r="A942" s="1" t="s">
        <v>959</v>
      </c>
      <c r="B942" s="1" t="s">
        <v>18</v>
      </c>
      <c r="C942" s="1">
        <v>112</v>
      </c>
      <c r="D942" s="1">
        <v>37</v>
      </c>
      <c r="E942" s="1" t="s">
        <v>16</v>
      </c>
      <c r="F942" s="1">
        <v>11101</v>
      </c>
      <c r="G942" s="1" t="str">
        <f t="shared" si="42"/>
        <v>Sufficient</v>
      </c>
      <c r="H942" s="1">
        <f t="shared" si="43"/>
        <v>1243312</v>
      </c>
      <c r="I942" s="1">
        <f t="shared" si="44"/>
        <v>2220.2000000000003</v>
      </c>
    </row>
    <row r="943" spans="1:9" x14ac:dyDescent="0.3">
      <c r="A943" s="1" t="s">
        <v>960</v>
      </c>
      <c r="B943" s="1" t="s">
        <v>29</v>
      </c>
      <c r="C943" s="1">
        <v>61</v>
      </c>
      <c r="D943" s="1">
        <v>17</v>
      </c>
      <c r="E943" s="1" t="s">
        <v>13</v>
      </c>
      <c r="F943" s="1">
        <v>71846</v>
      </c>
      <c r="G943" s="1" t="str">
        <f t="shared" si="42"/>
        <v>Sufficient</v>
      </c>
      <c r="H943" s="1">
        <f t="shared" si="43"/>
        <v>4382606</v>
      </c>
      <c r="I943" s="1">
        <f t="shared" si="44"/>
        <v>14369.2</v>
      </c>
    </row>
    <row r="944" spans="1:9" x14ac:dyDescent="0.3">
      <c r="A944" s="1" t="s">
        <v>961</v>
      </c>
      <c r="B944" s="1" t="s">
        <v>18</v>
      </c>
      <c r="C944" s="1">
        <v>94</v>
      </c>
      <c r="D944" s="1">
        <v>13</v>
      </c>
      <c r="E944" s="1" t="s">
        <v>16</v>
      </c>
      <c r="F944" s="1">
        <v>58312</v>
      </c>
      <c r="G944" s="1" t="str">
        <f t="shared" si="42"/>
        <v>Sufficient</v>
      </c>
      <c r="H944" s="1">
        <f t="shared" si="43"/>
        <v>5481328</v>
      </c>
      <c r="I944" s="1">
        <f t="shared" si="44"/>
        <v>11662.400000000001</v>
      </c>
    </row>
    <row r="945" spans="1:9" x14ac:dyDescent="0.3">
      <c r="A945" s="1" t="s">
        <v>962</v>
      </c>
      <c r="B945" s="1" t="s">
        <v>18</v>
      </c>
      <c r="C945" s="1">
        <v>179</v>
      </c>
      <c r="D945" s="1">
        <v>28</v>
      </c>
      <c r="E945" s="1" t="s">
        <v>8</v>
      </c>
      <c r="F945" s="1">
        <v>9702</v>
      </c>
      <c r="G945" s="1" t="str">
        <f t="shared" si="42"/>
        <v>Sufficient</v>
      </c>
      <c r="H945" s="1">
        <f t="shared" si="43"/>
        <v>1736658</v>
      </c>
      <c r="I945" s="1">
        <f t="shared" si="44"/>
        <v>1940.4</v>
      </c>
    </row>
    <row r="946" spans="1:9" x14ac:dyDescent="0.3">
      <c r="A946" s="1" t="s">
        <v>963</v>
      </c>
      <c r="B946" s="1" t="s">
        <v>23</v>
      </c>
      <c r="C946" s="1">
        <v>127</v>
      </c>
      <c r="D946" s="1">
        <v>47</v>
      </c>
      <c r="E946" s="1" t="s">
        <v>16</v>
      </c>
      <c r="F946" s="1">
        <v>45397</v>
      </c>
      <c r="G946" s="1" t="str">
        <f t="shared" si="42"/>
        <v>Sufficient</v>
      </c>
      <c r="H946" s="1">
        <f t="shared" si="43"/>
        <v>5765419</v>
      </c>
      <c r="I946" s="1">
        <f t="shared" si="44"/>
        <v>9079.4</v>
      </c>
    </row>
    <row r="947" spans="1:9" x14ac:dyDescent="0.3">
      <c r="A947" s="1" t="s">
        <v>964</v>
      </c>
      <c r="B947" s="1" t="s">
        <v>18</v>
      </c>
      <c r="C947" s="1">
        <v>148</v>
      </c>
      <c r="D947" s="1">
        <v>50</v>
      </c>
      <c r="E947" s="1" t="s">
        <v>13</v>
      </c>
      <c r="F947" s="1">
        <v>30828</v>
      </c>
      <c r="G947" s="1" t="str">
        <f t="shared" si="42"/>
        <v>Sufficient</v>
      </c>
      <c r="H947" s="1">
        <f t="shared" si="43"/>
        <v>4562544</v>
      </c>
      <c r="I947" s="1">
        <f t="shared" si="44"/>
        <v>6165.6</v>
      </c>
    </row>
    <row r="948" spans="1:9" x14ac:dyDescent="0.3">
      <c r="A948" s="1" t="s">
        <v>965</v>
      </c>
      <c r="B948" s="1" t="s">
        <v>12</v>
      </c>
      <c r="C948" s="1">
        <v>66</v>
      </c>
      <c r="D948" s="1">
        <v>29</v>
      </c>
      <c r="E948" s="1" t="s">
        <v>13</v>
      </c>
      <c r="F948" s="1">
        <v>11548</v>
      </c>
      <c r="G948" s="1" t="str">
        <f t="shared" si="42"/>
        <v>Sufficient</v>
      </c>
      <c r="H948" s="1">
        <f t="shared" si="43"/>
        <v>762168</v>
      </c>
      <c r="I948" s="1">
        <f t="shared" si="44"/>
        <v>2309.6</v>
      </c>
    </row>
    <row r="949" spans="1:9" x14ac:dyDescent="0.3">
      <c r="A949" s="1" t="s">
        <v>966</v>
      </c>
      <c r="B949" s="1" t="s">
        <v>15</v>
      </c>
      <c r="C949" s="1">
        <v>3</v>
      </c>
      <c r="D949" s="1">
        <v>10</v>
      </c>
      <c r="E949" s="1" t="s">
        <v>8</v>
      </c>
      <c r="F949" s="1">
        <v>20503</v>
      </c>
      <c r="G949" s="1" t="str">
        <f t="shared" si="42"/>
        <v>Low Stock</v>
      </c>
      <c r="H949" s="1">
        <f t="shared" si="43"/>
        <v>61509</v>
      </c>
      <c r="I949" s="1">
        <f t="shared" si="44"/>
        <v>4100.6000000000004</v>
      </c>
    </row>
    <row r="950" spans="1:9" x14ac:dyDescent="0.3">
      <c r="A950" s="1" t="s">
        <v>967</v>
      </c>
      <c r="B950" s="1" t="s">
        <v>23</v>
      </c>
      <c r="C950" s="1">
        <v>1</v>
      </c>
      <c r="D950" s="1">
        <v>49</v>
      </c>
      <c r="E950" s="1" t="s">
        <v>10</v>
      </c>
      <c r="F950" s="1">
        <v>10187</v>
      </c>
      <c r="G950" s="1" t="str">
        <f t="shared" si="42"/>
        <v>Low Stock</v>
      </c>
      <c r="H950" s="1">
        <f t="shared" si="43"/>
        <v>10187</v>
      </c>
      <c r="I950" s="1">
        <f t="shared" si="44"/>
        <v>2037.4</v>
      </c>
    </row>
    <row r="951" spans="1:9" x14ac:dyDescent="0.3">
      <c r="A951" s="1" t="s">
        <v>968</v>
      </c>
      <c r="B951" s="1" t="s">
        <v>25</v>
      </c>
      <c r="C951" s="1">
        <v>85</v>
      </c>
      <c r="D951" s="1">
        <v>23</v>
      </c>
      <c r="E951" s="1" t="s">
        <v>13</v>
      </c>
      <c r="F951" s="1">
        <v>40820</v>
      </c>
      <c r="G951" s="1" t="str">
        <f t="shared" si="42"/>
        <v>Sufficient</v>
      </c>
      <c r="H951" s="1">
        <f t="shared" si="43"/>
        <v>3469700</v>
      </c>
      <c r="I951" s="1">
        <f t="shared" si="44"/>
        <v>8164</v>
      </c>
    </row>
    <row r="952" spans="1:9" x14ac:dyDescent="0.3">
      <c r="A952" s="1" t="s">
        <v>969</v>
      </c>
      <c r="B952" s="1" t="s">
        <v>23</v>
      </c>
      <c r="C952" s="1">
        <v>15</v>
      </c>
      <c r="D952" s="1">
        <v>30</v>
      </c>
      <c r="E952" s="1" t="s">
        <v>26</v>
      </c>
      <c r="F952" s="1">
        <v>74485</v>
      </c>
      <c r="G952" s="1" t="str">
        <f t="shared" si="42"/>
        <v>Low Stock</v>
      </c>
      <c r="H952" s="1">
        <f t="shared" si="43"/>
        <v>1117275</v>
      </c>
      <c r="I952" s="1">
        <f t="shared" si="44"/>
        <v>14897</v>
      </c>
    </row>
    <row r="953" spans="1:9" x14ac:dyDescent="0.3">
      <c r="A953" s="1" t="s">
        <v>970</v>
      </c>
      <c r="B953" s="1" t="s">
        <v>20</v>
      </c>
      <c r="C953" s="1">
        <v>109</v>
      </c>
      <c r="D953" s="1">
        <v>46</v>
      </c>
      <c r="E953" s="1" t="s">
        <v>13</v>
      </c>
      <c r="F953" s="1">
        <v>73178</v>
      </c>
      <c r="G953" s="1" t="str">
        <f t="shared" si="42"/>
        <v>Sufficient</v>
      </c>
      <c r="H953" s="1">
        <f t="shared" si="43"/>
        <v>7976402</v>
      </c>
      <c r="I953" s="1">
        <f t="shared" si="44"/>
        <v>14635.6</v>
      </c>
    </row>
    <row r="954" spans="1:9" x14ac:dyDescent="0.3">
      <c r="A954" s="1" t="s">
        <v>971</v>
      </c>
      <c r="B954" s="1" t="s">
        <v>25</v>
      </c>
      <c r="C954" s="1">
        <v>173</v>
      </c>
      <c r="D954" s="1">
        <v>18</v>
      </c>
      <c r="E954" s="1" t="s">
        <v>13</v>
      </c>
      <c r="F954" s="1">
        <v>16795</v>
      </c>
      <c r="G954" s="1" t="str">
        <f t="shared" si="42"/>
        <v>Sufficient</v>
      </c>
      <c r="H954" s="1">
        <f t="shared" si="43"/>
        <v>2905535</v>
      </c>
      <c r="I954" s="1">
        <f t="shared" si="44"/>
        <v>3359</v>
      </c>
    </row>
    <row r="955" spans="1:9" x14ac:dyDescent="0.3">
      <c r="A955" s="1" t="s">
        <v>972</v>
      </c>
      <c r="B955" s="1" t="s">
        <v>20</v>
      </c>
      <c r="C955" s="1">
        <v>27</v>
      </c>
      <c r="D955" s="1">
        <v>10</v>
      </c>
      <c r="E955" s="1" t="s">
        <v>10</v>
      </c>
      <c r="F955" s="1">
        <v>50956</v>
      </c>
      <c r="G955" s="1" t="str">
        <f t="shared" si="42"/>
        <v>Sufficient</v>
      </c>
      <c r="H955" s="1">
        <f t="shared" si="43"/>
        <v>1375812</v>
      </c>
      <c r="I955" s="1">
        <f t="shared" si="44"/>
        <v>10191.200000000001</v>
      </c>
    </row>
    <row r="956" spans="1:9" x14ac:dyDescent="0.3">
      <c r="A956" s="1" t="s">
        <v>973</v>
      </c>
      <c r="B956" s="1" t="s">
        <v>29</v>
      </c>
      <c r="C956" s="1">
        <v>37</v>
      </c>
      <c r="D956" s="1">
        <v>25</v>
      </c>
      <c r="E956" s="1" t="s">
        <v>10</v>
      </c>
      <c r="F956" s="1">
        <v>55337</v>
      </c>
      <c r="G956" s="1" t="str">
        <f t="shared" si="42"/>
        <v>Sufficient</v>
      </c>
      <c r="H956" s="1">
        <f t="shared" si="43"/>
        <v>2047469</v>
      </c>
      <c r="I956" s="1">
        <f t="shared" si="44"/>
        <v>11067.400000000001</v>
      </c>
    </row>
    <row r="957" spans="1:9" x14ac:dyDescent="0.3">
      <c r="A957" s="1" t="s">
        <v>974</v>
      </c>
      <c r="B957" s="1" t="s">
        <v>25</v>
      </c>
      <c r="C957" s="1">
        <v>73</v>
      </c>
      <c r="D957" s="1">
        <v>36</v>
      </c>
      <c r="E957" s="1" t="s">
        <v>13</v>
      </c>
      <c r="F957" s="1">
        <v>30220</v>
      </c>
      <c r="G957" s="1" t="str">
        <f t="shared" si="42"/>
        <v>Sufficient</v>
      </c>
      <c r="H957" s="1">
        <f t="shared" si="43"/>
        <v>2206060</v>
      </c>
      <c r="I957" s="1">
        <f t="shared" si="44"/>
        <v>6044</v>
      </c>
    </row>
    <row r="958" spans="1:9" x14ac:dyDescent="0.3">
      <c r="A958" s="1" t="s">
        <v>975</v>
      </c>
      <c r="B958" s="1" t="s">
        <v>7</v>
      </c>
      <c r="C958" s="1">
        <v>18</v>
      </c>
      <c r="D958" s="1">
        <v>15</v>
      </c>
      <c r="E958" s="1" t="s">
        <v>16</v>
      </c>
      <c r="F958" s="1">
        <v>76671</v>
      </c>
      <c r="G958" s="1" t="str">
        <f t="shared" si="42"/>
        <v>Sufficient</v>
      </c>
      <c r="H958" s="1">
        <f t="shared" si="43"/>
        <v>1380078</v>
      </c>
      <c r="I958" s="1">
        <f t="shared" si="44"/>
        <v>15334.2</v>
      </c>
    </row>
    <row r="959" spans="1:9" x14ac:dyDescent="0.3">
      <c r="A959" s="1" t="s">
        <v>976</v>
      </c>
      <c r="B959" s="1" t="s">
        <v>12</v>
      </c>
      <c r="C959" s="1">
        <v>133</v>
      </c>
      <c r="D959" s="1">
        <v>43</v>
      </c>
      <c r="E959" s="1" t="s">
        <v>8</v>
      </c>
      <c r="F959" s="1">
        <v>17312</v>
      </c>
      <c r="G959" s="1" t="str">
        <f t="shared" si="42"/>
        <v>Sufficient</v>
      </c>
      <c r="H959" s="1">
        <f t="shared" si="43"/>
        <v>2302496</v>
      </c>
      <c r="I959" s="1">
        <f t="shared" si="44"/>
        <v>3462.4</v>
      </c>
    </row>
    <row r="960" spans="1:9" x14ac:dyDescent="0.3">
      <c r="A960" s="1" t="s">
        <v>977</v>
      </c>
      <c r="B960" s="1" t="s">
        <v>18</v>
      </c>
      <c r="C960" s="1">
        <v>194</v>
      </c>
      <c r="D960" s="1">
        <v>14</v>
      </c>
      <c r="E960" s="1" t="s">
        <v>16</v>
      </c>
      <c r="F960" s="1">
        <v>65241</v>
      </c>
      <c r="G960" s="1" t="str">
        <f t="shared" si="42"/>
        <v>Sufficient</v>
      </c>
      <c r="H960" s="1">
        <f t="shared" si="43"/>
        <v>12656754</v>
      </c>
      <c r="I960" s="1">
        <f t="shared" si="44"/>
        <v>13048.2</v>
      </c>
    </row>
    <row r="961" spans="1:9" x14ac:dyDescent="0.3">
      <c r="A961" s="1" t="s">
        <v>978</v>
      </c>
      <c r="B961" s="1" t="s">
        <v>12</v>
      </c>
      <c r="C961" s="1">
        <v>72</v>
      </c>
      <c r="D961" s="1">
        <v>20</v>
      </c>
      <c r="E961" s="1" t="s">
        <v>16</v>
      </c>
      <c r="F961" s="1">
        <v>52773</v>
      </c>
      <c r="G961" s="1" t="str">
        <f t="shared" si="42"/>
        <v>Sufficient</v>
      </c>
      <c r="H961" s="1">
        <f t="shared" si="43"/>
        <v>3799656</v>
      </c>
      <c r="I961" s="1">
        <f t="shared" si="44"/>
        <v>10554.6</v>
      </c>
    </row>
    <row r="962" spans="1:9" x14ac:dyDescent="0.3">
      <c r="A962" s="1" t="s">
        <v>979</v>
      </c>
      <c r="B962" s="1" t="s">
        <v>29</v>
      </c>
      <c r="C962" s="1">
        <v>128</v>
      </c>
      <c r="D962" s="1">
        <v>38</v>
      </c>
      <c r="E962" s="1" t="s">
        <v>10</v>
      </c>
      <c r="F962" s="1">
        <v>55394</v>
      </c>
      <c r="G962" s="1" t="str">
        <f t="shared" si="42"/>
        <v>Sufficient</v>
      </c>
      <c r="H962" s="1">
        <f t="shared" si="43"/>
        <v>7090432</v>
      </c>
      <c r="I962" s="1">
        <f t="shared" si="44"/>
        <v>11078.800000000001</v>
      </c>
    </row>
    <row r="963" spans="1:9" x14ac:dyDescent="0.3">
      <c r="A963" s="1" t="s">
        <v>980</v>
      </c>
      <c r="B963" s="1" t="s">
        <v>7</v>
      </c>
      <c r="C963" s="1">
        <v>104</v>
      </c>
      <c r="D963" s="1">
        <v>33</v>
      </c>
      <c r="E963" s="1" t="s">
        <v>10</v>
      </c>
      <c r="F963" s="1">
        <v>74719</v>
      </c>
      <c r="G963" s="1" t="str">
        <f t="shared" ref="G963:G1001" si="45">IF(C963=0,"Pending",IF(C963&lt;=D963,"Low Stock", "Sufficient"))</f>
        <v>Sufficient</v>
      </c>
      <c r="H963" s="1">
        <f t="shared" ref="H963:H1001" si="46">C963*F963</f>
        <v>7770776</v>
      </c>
      <c r="I963" s="1">
        <f t="shared" ref="I963:I1001" si="47">F963*0.2</f>
        <v>14943.800000000001</v>
      </c>
    </row>
    <row r="964" spans="1:9" x14ac:dyDescent="0.3">
      <c r="A964" s="1" t="s">
        <v>981</v>
      </c>
      <c r="B964" s="1" t="s">
        <v>7</v>
      </c>
      <c r="C964" s="1">
        <v>49</v>
      </c>
      <c r="D964" s="1">
        <v>47</v>
      </c>
      <c r="E964" s="1" t="s">
        <v>26</v>
      </c>
      <c r="F964" s="1">
        <v>53167</v>
      </c>
      <c r="G964" s="1" t="str">
        <f t="shared" si="45"/>
        <v>Sufficient</v>
      </c>
      <c r="H964" s="1">
        <f t="shared" si="46"/>
        <v>2605183</v>
      </c>
      <c r="I964" s="1">
        <f t="shared" si="47"/>
        <v>10633.400000000001</v>
      </c>
    </row>
    <row r="965" spans="1:9" x14ac:dyDescent="0.3">
      <c r="A965" s="1" t="s">
        <v>982</v>
      </c>
      <c r="B965" s="1" t="s">
        <v>23</v>
      </c>
      <c r="C965" s="1">
        <v>186</v>
      </c>
      <c r="D965" s="1">
        <v>21</v>
      </c>
      <c r="E965" s="1" t="s">
        <v>8</v>
      </c>
      <c r="F965" s="1">
        <v>16350</v>
      </c>
      <c r="G965" s="1" t="str">
        <f t="shared" si="45"/>
        <v>Sufficient</v>
      </c>
      <c r="H965" s="1">
        <f t="shared" si="46"/>
        <v>3041100</v>
      </c>
      <c r="I965" s="1">
        <f t="shared" si="47"/>
        <v>3270</v>
      </c>
    </row>
    <row r="966" spans="1:9" x14ac:dyDescent="0.3">
      <c r="A966" s="1" t="s">
        <v>983</v>
      </c>
      <c r="B966" s="1" t="s">
        <v>23</v>
      </c>
      <c r="C966" s="1">
        <v>36</v>
      </c>
      <c r="D966" s="1">
        <v>29</v>
      </c>
      <c r="E966" s="1" t="s">
        <v>16</v>
      </c>
      <c r="F966" s="1">
        <v>73693</v>
      </c>
      <c r="G966" s="1" t="str">
        <f t="shared" si="45"/>
        <v>Sufficient</v>
      </c>
      <c r="H966" s="1">
        <f t="shared" si="46"/>
        <v>2652948</v>
      </c>
      <c r="I966" s="1">
        <f t="shared" si="47"/>
        <v>14738.6</v>
      </c>
    </row>
    <row r="967" spans="1:9" x14ac:dyDescent="0.3">
      <c r="A967" s="1" t="s">
        <v>984</v>
      </c>
      <c r="B967" s="1" t="s">
        <v>15</v>
      </c>
      <c r="C967" s="1">
        <v>36</v>
      </c>
      <c r="D967" s="1">
        <v>12</v>
      </c>
      <c r="E967" s="1" t="s">
        <v>10</v>
      </c>
      <c r="F967" s="1">
        <v>75983</v>
      </c>
      <c r="G967" s="1" t="str">
        <f t="shared" si="45"/>
        <v>Sufficient</v>
      </c>
      <c r="H967" s="1">
        <f t="shared" si="46"/>
        <v>2735388</v>
      </c>
      <c r="I967" s="1">
        <f t="shared" si="47"/>
        <v>15196.6</v>
      </c>
    </row>
    <row r="968" spans="1:9" x14ac:dyDescent="0.3">
      <c r="A968" s="1" t="s">
        <v>985</v>
      </c>
      <c r="B968" s="1" t="s">
        <v>18</v>
      </c>
      <c r="C968" s="1">
        <v>175</v>
      </c>
      <c r="D968" s="1">
        <v>36</v>
      </c>
      <c r="E968" s="1" t="s">
        <v>16</v>
      </c>
      <c r="F968" s="1">
        <v>54874</v>
      </c>
      <c r="G968" s="1" t="str">
        <f t="shared" si="45"/>
        <v>Sufficient</v>
      </c>
      <c r="H968" s="1">
        <f t="shared" si="46"/>
        <v>9602950</v>
      </c>
      <c r="I968" s="1">
        <f t="shared" si="47"/>
        <v>10974.800000000001</v>
      </c>
    </row>
    <row r="969" spans="1:9" x14ac:dyDescent="0.3">
      <c r="A969" s="1" t="s">
        <v>986</v>
      </c>
      <c r="B969" s="1" t="s">
        <v>7</v>
      </c>
      <c r="C969" s="1">
        <v>57</v>
      </c>
      <c r="D969" s="1">
        <v>45</v>
      </c>
      <c r="E969" s="1" t="s">
        <v>16</v>
      </c>
      <c r="F969" s="1">
        <v>13310</v>
      </c>
      <c r="G969" s="1" t="str">
        <f t="shared" si="45"/>
        <v>Sufficient</v>
      </c>
      <c r="H969" s="1">
        <f t="shared" si="46"/>
        <v>758670</v>
      </c>
      <c r="I969" s="1">
        <f t="shared" si="47"/>
        <v>2662</v>
      </c>
    </row>
    <row r="970" spans="1:9" x14ac:dyDescent="0.3">
      <c r="A970" s="1" t="s">
        <v>987</v>
      </c>
      <c r="B970" s="1" t="s">
        <v>15</v>
      </c>
      <c r="C970" s="1">
        <v>135</v>
      </c>
      <c r="D970" s="1">
        <v>33</v>
      </c>
      <c r="E970" s="1" t="s">
        <v>26</v>
      </c>
      <c r="F970" s="1">
        <v>16392</v>
      </c>
      <c r="G970" s="1" t="str">
        <f t="shared" si="45"/>
        <v>Sufficient</v>
      </c>
      <c r="H970" s="1">
        <f t="shared" si="46"/>
        <v>2212920</v>
      </c>
      <c r="I970" s="1">
        <f t="shared" si="47"/>
        <v>3278.4</v>
      </c>
    </row>
    <row r="971" spans="1:9" x14ac:dyDescent="0.3">
      <c r="A971" s="1" t="s">
        <v>988</v>
      </c>
      <c r="B971" s="1" t="s">
        <v>25</v>
      </c>
      <c r="C971" s="1">
        <v>156</v>
      </c>
      <c r="D971" s="1">
        <v>25</v>
      </c>
      <c r="E971" s="1" t="s">
        <v>10</v>
      </c>
      <c r="F971" s="1">
        <v>50837</v>
      </c>
      <c r="G971" s="1" t="str">
        <f t="shared" si="45"/>
        <v>Sufficient</v>
      </c>
      <c r="H971" s="1">
        <f t="shared" si="46"/>
        <v>7930572</v>
      </c>
      <c r="I971" s="1">
        <f t="shared" si="47"/>
        <v>10167.400000000001</v>
      </c>
    </row>
    <row r="972" spans="1:9" x14ac:dyDescent="0.3">
      <c r="A972" s="1" t="s">
        <v>989</v>
      </c>
      <c r="B972" s="1" t="s">
        <v>15</v>
      </c>
      <c r="C972" s="1">
        <v>92</v>
      </c>
      <c r="D972" s="1">
        <v>28</v>
      </c>
      <c r="E972" s="1" t="s">
        <v>8</v>
      </c>
      <c r="F972" s="1">
        <v>72969</v>
      </c>
      <c r="G972" s="1" t="str">
        <f t="shared" si="45"/>
        <v>Sufficient</v>
      </c>
      <c r="H972" s="1">
        <f t="shared" si="46"/>
        <v>6713148</v>
      </c>
      <c r="I972" s="1">
        <f t="shared" si="47"/>
        <v>14593.800000000001</v>
      </c>
    </row>
    <row r="973" spans="1:9" x14ac:dyDescent="0.3">
      <c r="A973" s="1" t="s">
        <v>990</v>
      </c>
      <c r="B973" s="1" t="s">
        <v>15</v>
      </c>
      <c r="C973" s="1">
        <v>42</v>
      </c>
      <c r="D973" s="1">
        <v>16</v>
      </c>
      <c r="E973" s="1" t="s">
        <v>8</v>
      </c>
      <c r="F973" s="1">
        <v>19889</v>
      </c>
      <c r="G973" s="1" t="str">
        <f t="shared" si="45"/>
        <v>Sufficient</v>
      </c>
      <c r="H973" s="1">
        <f t="shared" si="46"/>
        <v>835338</v>
      </c>
      <c r="I973" s="1">
        <f t="shared" si="47"/>
        <v>3977.8</v>
      </c>
    </row>
    <row r="974" spans="1:9" x14ac:dyDescent="0.3">
      <c r="A974" s="1" t="s">
        <v>991</v>
      </c>
      <c r="B974" s="1" t="s">
        <v>12</v>
      </c>
      <c r="C974" s="1">
        <v>49</v>
      </c>
      <c r="D974" s="1">
        <v>17</v>
      </c>
      <c r="E974" s="1" t="s">
        <v>26</v>
      </c>
      <c r="F974" s="1">
        <v>45667</v>
      </c>
      <c r="G974" s="1" t="str">
        <f t="shared" si="45"/>
        <v>Sufficient</v>
      </c>
      <c r="H974" s="1">
        <f t="shared" si="46"/>
        <v>2237683</v>
      </c>
      <c r="I974" s="1">
        <f t="shared" si="47"/>
        <v>9133.4</v>
      </c>
    </row>
    <row r="975" spans="1:9" x14ac:dyDescent="0.3">
      <c r="A975" s="1" t="s">
        <v>992</v>
      </c>
      <c r="B975" s="1" t="s">
        <v>15</v>
      </c>
      <c r="C975" s="1">
        <v>192</v>
      </c>
      <c r="D975" s="1">
        <v>45</v>
      </c>
      <c r="E975" s="1" t="s">
        <v>13</v>
      </c>
      <c r="F975" s="1">
        <v>6404</v>
      </c>
      <c r="G975" s="1" t="str">
        <f t="shared" si="45"/>
        <v>Sufficient</v>
      </c>
      <c r="H975" s="1">
        <f t="shared" si="46"/>
        <v>1229568</v>
      </c>
      <c r="I975" s="1">
        <f t="shared" si="47"/>
        <v>1280.8000000000002</v>
      </c>
    </row>
    <row r="976" spans="1:9" x14ac:dyDescent="0.3">
      <c r="A976" s="1" t="s">
        <v>993</v>
      </c>
      <c r="B976" s="1" t="s">
        <v>15</v>
      </c>
      <c r="C976" s="1">
        <v>181</v>
      </c>
      <c r="D976" s="1">
        <v>23</v>
      </c>
      <c r="E976" s="1" t="s">
        <v>10</v>
      </c>
      <c r="F976" s="1">
        <v>40104</v>
      </c>
      <c r="G976" s="1" t="str">
        <f t="shared" si="45"/>
        <v>Sufficient</v>
      </c>
      <c r="H976" s="1">
        <f t="shared" si="46"/>
        <v>7258824</v>
      </c>
      <c r="I976" s="1">
        <f t="shared" si="47"/>
        <v>8020.8</v>
      </c>
    </row>
    <row r="977" spans="1:9" x14ac:dyDescent="0.3">
      <c r="A977" s="1" t="s">
        <v>994</v>
      </c>
      <c r="B977" s="1" t="s">
        <v>18</v>
      </c>
      <c r="C977" s="1">
        <v>187</v>
      </c>
      <c r="D977" s="1">
        <v>35</v>
      </c>
      <c r="E977" s="1" t="s">
        <v>8</v>
      </c>
      <c r="F977" s="1">
        <v>66434</v>
      </c>
      <c r="G977" s="1" t="str">
        <f t="shared" si="45"/>
        <v>Sufficient</v>
      </c>
      <c r="H977" s="1">
        <f t="shared" si="46"/>
        <v>12423158</v>
      </c>
      <c r="I977" s="1">
        <f t="shared" si="47"/>
        <v>13286.800000000001</v>
      </c>
    </row>
    <row r="978" spans="1:9" x14ac:dyDescent="0.3">
      <c r="A978" s="1" t="s">
        <v>995</v>
      </c>
      <c r="B978" s="1" t="s">
        <v>23</v>
      </c>
      <c r="C978" s="1">
        <v>68</v>
      </c>
      <c r="D978" s="1">
        <v>48</v>
      </c>
      <c r="E978" s="1" t="s">
        <v>13</v>
      </c>
      <c r="F978" s="1">
        <v>51820</v>
      </c>
      <c r="G978" s="1" t="str">
        <f t="shared" si="45"/>
        <v>Sufficient</v>
      </c>
      <c r="H978" s="1">
        <f t="shared" si="46"/>
        <v>3523760</v>
      </c>
      <c r="I978" s="1">
        <f t="shared" si="47"/>
        <v>10364</v>
      </c>
    </row>
    <row r="979" spans="1:9" x14ac:dyDescent="0.3">
      <c r="A979" s="1" t="s">
        <v>996</v>
      </c>
      <c r="B979" s="1" t="s">
        <v>7</v>
      </c>
      <c r="C979" s="1">
        <v>136</v>
      </c>
      <c r="D979" s="1">
        <v>27</v>
      </c>
      <c r="E979" s="1" t="s">
        <v>16</v>
      </c>
      <c r="F979" s="1">
        <v>65869</v>
      </c>
      <c r="G979" s="1" t="str">
        <f t="shared" si="45"/>
        <v>Sufficient</v>
      </c>
      <c r="H979" s="1">
        <f t="shared" si="46"/>
        <v>8958184</v>
      </c>
      <c r="I979" s="1">
        <f t="shared" si="47"/>
        <v>13173.800000000001</v>
      </c>
    </row>
    <row r="980" spans="1:9" x14ac:dyDescent="0.3">
      <c r="A980" s="1" t="s">
        <v>997</v>
      </c>
      <c r="B980" s="1" t="s">
        <v>18</v>
      </c>
      <c r="C980" s="1">
        <v>157</v>
      </c>
      <c r="D980" s="1">
        <v>41</v>
      </c>
      <c r="E980" s="1" t="s">
        <v>8</v>
      </c>
      <c r="F980" s="1">
        <v>77589</v>
      </c>
      <c r="G980" s="1" t="str">
        <f t="shared" si="45"/>
        <v>Sufficient</v>
      </c>
      <c r="H980" s="1">
        <f t="shared" si="46"/>
        <v>12181473</v>
      </c>
      <c r="I980" s="1">
        <f t="shared" si="47"/>
        <v>15517.800000000001</v>
      </c>
    </row>
    <row r="981" spans="1:9" x14ac:dyDescent="0.3">
      <c r="A981" s="1" t="s">
        <v>998</v>
      </c>
      <c r="B981" s="1" t="s">
        <v>12</v>
      </c>
      <c r="C981" s="1">
        <v>124</v>
      </c>
      <c r="D981" s="1">
        <v>29</v>
      </c>
      <c r="E981" s="1" t="s">
        <v>13</v>
      </c>
      <c r="F981" s="1">
        <v>76975</v>
      </c>
      <c r="G981" s="1" t="str">
        <f t="shared" si="45"/>
        <v>Sufficient</v>
      </c>
      <c r="H981" s="1">
        <f t="shared" si="46"/>
        <v>9544900</v>
      </c>
      <c r="I981" s="1">
        <f t="shared" si="47"/>
        <v>15395</v>
      </c>
    </row>
    <row r="982" spans="1:9" x14ac:dyDescent="0.3">
      <c r="A982" s="1" t="s">
        <v>999</v>
      </c>
      <c r="B982" s="1" t="s">
        <v>29</v>
      </c>
      <c r="C982" s="1">
        <v>23</v>
      </c>
      <c r="D982" s="1">
        <v>16</v>
      </c>
      <c r="E982" s="1" t="s">
        <v>26</v>
      </c>
      <c r="F982" s="1">
        <v>33740</v>
      </c>
      <c r="G982" s="1" t="str">
        <f t="shared" si="45"/>
        <v>Sufficient</v>
      </c>
      <c r="H982" s="1">
        <f t="shared" si="46"/>
        <v>776020</v>
      </c>
      <c r="I982" s="1">
        <f t="shared" si="47"/>
        <v>6748</v>
      </c>
    </row>
    <row r="983" spans="1:9" x14ac:dyDescent="0.3">
      <c r="A983" s="1" t="s">
        <v>1000</v>
      </c>
      <c r="B983" s="1" t="s">
        <v>15</v>
      </c>
      <c r="C983" s="1">
        <v>115</v>
      </c>
      <c r="D983" s="1">
        <v>26</v>
      </c>
      <c r="E983" s="1" t="s">
        <v>26</v>
      </c>
      <c r="F983" s="1">
        <v>32348</v>
      </c>
      <c r="G983" s="1" t="str">
        <f t="shared" si="45"/>
        <v>Sufficient</v>
      </c>
      <c r="H983" s="1">
        <f t="shared" si="46"/>
        <v>3720020</v>
      </c>
      <c r="I983" s="1">
        <f t="shared" si="47"/>
        <v>6469.6</v>
      </c>
    </row>
    <row r="984" spans="1:9" x14ac:dyDescent="0.3">
      <c r="A984" s="1" t="s">
        <v>1001</v>
      </c>
      <c r="B984" s="1" t="s">
        <v>25</v>
      </c>
      <c r="C984" s="1">
        <v>115</v>
      </c>
      <c r="D984" s="1">
        <v>39</v>
      </c>
      <c r="E984" s="1" t="s">
        <v>8</v>
      </c>
      <c r="F984" s="1">
        <v>67026</v>
      </c>
      <c r="G984" s="1" t="str">
        <f t="shared" si="45"/>
        <v>Sufficient</v>
      </c>
      <c r="H984" s="1">
        <f t="shared" si="46"/>
        <v>7707990</v>
      </c>
      <c r="I984" s="1">
        <f t="shared" si="47"/>
        <v>13405.2</v>
      </c>
    </row>
    <row r="985" spans="1:9" x14ac:dyDescent="0.3">
      <c r="A985" s="1" t="s">
        <v>1002</v>
      </c>
      <c r="B985" s="1" t="s">
        <v>20</v>
      </c>
      <c r="C985" s="1">
        <v>188</v>
      </c>
      <c r="D985" s="1">
        <v>10</v>
      </c>
      <c r="E985" s="1" t="s">
        <v>8</v>
      </c>
      <c r="F985" s="1">
        <v>2258</v>
      </c>
      <c r="G985" s="1" t="str">
        <f t="shared" si="45"/>
        <v>Sufficient</v>
      </c>
      <c r="H985" s="1">
        <f t="shared" si="46"/>
        <v>424504</v>
      </c>
      <c r="I985" s="1">
        <f t="shared" si="47"/>
        <v>451.6</v>
      </c>
    </row>
    <row r="986" spans="1:9" x14ac:dyDescent="0.3">
      <c r="A986" s="1" t="s">
        <v>1003</v>
      </c>
      <c r="B986" s="1" t="s">
        <v>23</v>
      </c>
      <c r="C986" s="1">
        <v>73</v>
      </c>
      <c r="D986" s="1">
        <v>26</v>
      </c>
      <c r="E986" s="1" t="s">
        <v>13</v>
      </c>
      <c r="F986" s="1">
        <v>65768</v>
      </c>
      <c r="G986" s="1" t="str">
        <f t="shared" si="45"/>
        <v>Sufficient</v>
      </c>
      <c r="H986" s="1">
        <f t="shared" si="46"/>
        <v>4801064</v>
      </c>
      <c r="I986" s="1">
        <f t="shared" si="47"/>
        <v>13153.6</v>
      </c>
    </row>
    <row r="987" spans="1:9" x14ac:dyDescent="0.3">
      <c r="A987" s="1" t="s">
        <v>1004</v>
      </c>
      <c r="B987" s="1" t="s">
        <v>29</v>
      </c>
      <c r="C987" s="1">
        <v>186</v>
      </c>
      <c r="D987" s="1">
        <v>20</v>
      </c>
      <c r="E987" s="1" t="s">
        <v>26</v>
      </c>
      <c r="F987" s="1">
        <v>47201</v>
      </c>
      <c r="G987" s="1" t="str">
        <f t="shared" si="45"/>
        <v>Sufficient</v>
      </c>
      <c r="H987" s="1">
        <f t="shared" si="46"/>
        <v>8779386</v>
      </c>
      <c r="I987" s="1">
        <f t="shared" si="47"/>
        <v>9440.2000000000007</v>
      </c>
    </row>
    <row r="988" spans="1:9" x14ac:dyDescent="0.3">
      <c r="A988" s="1" t="s">
        <v>1005</v>
      </c>
      <c r="B988" s="1" t="s">
        <v>18</v>
      </c>
      <c r="C988" s="1">
        <v>111</v>
      </c>
      <c r="D988" s="1">
        <v>27</v>
      </c>
      <c r="E988" s="1" t="s">
        <v>16</v>
      </c>
      <c r="F988" s="1">
        <v>74389</v>
      </c>
      <c r="G988" s="1" t="str">
        <f t="shared" si="45"/>
        <v>Sufficient</v>
      </c>
      <c r="H988" s="1">
        <f t="shared" si="46"/>
        <v>8257179</v>
      </c>
      <c r="I988" s="1">
        <f t="shared" si="47"/>
        <v>14877.800000000001</v>
      </c>
    </row>
    <row r="989" spans="1:9" x14ac:dyDescent="0.3">
      <c r="A989" s="1" t="s">
        <v>1006</v>
      </c>
      <c r="B989" s="1" t="s">
        <v>23</v>
      </c>
      <c r="C989" s="1">
        <v>105</v>
      </c>
      <c r="D989" s="1">
        <v>25</v>
      </c>
      <c r="E989" s="1" t="s">
        <v>26</v>
      </c>
      <c r="F989" s="1">
        <v>27873</v>
      </c>
      <c r="G989" s="1" t="str">
        <f t="shared" si="45"/>
        <v>Sufficient</v>
      </c>
      <c r="H989" s="1">
        <f t="shared" si="46"/>
        <v>2926665</v>
      </c>
      <c r="I989" s="1">
        <f t="shared" si="47"/>
        <v>5574.6</v>
      </c>
    </row>
    <row r="990" spans="1:9" x14ac:dyDescent="0.3">
      <c r="A990" s="1" t="s">
        <v>1007</v>
      </c>
      <c r="B990" s="1" t="s">
        <v>18</v>
      </c>
      <c r="C990" s="1">
        <v>139</v>
      </c>
      <c r="D990" s="1">
        <v>26</v>
      </c>
      <c r="E990" s="1" t="s">
        <v>26</v>
      </c>
      <c r="F990" s="1">
        <v>36089</v>
      </c>
      <c r="G990" s="1" t="str">
        <f t="shared" si="45"/>
        <v>Sufficient</v>
      </c>
      <c r="H990" s="1">
        <f t="shared" si="46"/>
        <v>5016371</v>
      </c>
      <c r="I990" s="1">
        <f t="shared" si="47"/>
        <v>7217.8</v>
      </c>
    </row>
    <row r="991" spans="1:9" x14ac:dyDescent="0.3">
      <c r="A991" s="1" t="s">
        <v>1008</v>
      </c>
      <c r="B991" s="1" t="s">
        <v>23</v>
      </c>
      <c r="C991" s="1">
        <v>94</v>
      </c>
      <c r="D991" s="1">
        <v>36</v>
      </c>
      <c r="E991" s="1" t="s">
        <v>10</v>
      </c>
      <c r="F991" s="1">
        <v>65836</v>
      </c>
      <c r="G991" s="1" t="str">
        <f t="shared" si="45"/>
        <v>Sufficient</v>
      </c>
      <c r="H991" s="1">
        <f t="shared" si="46"/>
        <v>6188584</v>
      </c>
      <c r="I991" s="1">
        <f t="shared" si="47"/>
        <v>13167.2</v>
      </c>
    </row>
    <row r="992" spans="1:9" x14ac:dyDescent="0.3">
      <c r="A992" s="1" t="s">
        <v>1009</v>
      </c>
      <c r="B992" s="1" t="s">
        <v>23</v>
      </c>
      <c r="C992" s="1">
        <v>179</v>
      </c>
      <c r="D992" s="1">
        <v>33</v>
      </c>
      <c r="E992" s="1" t="s">
        <v>10</v>
      </c>
      <c r="F992" s="1">
        <v>6791</v>
      </c>
      <c r="G992" s="1" t="str">
        <f t="shared" si="45"/>
        <v>Sufficient</v>
      </c>
      <c r="H992" s="1">
        <f t="shared" si="46"/>
        <v>1215589</v>
      </c>
      <c r="I992" s="1">
        <f t="shared" si="47"/>
        <v>1358.2</v>
      </c>
    </row>
    <row r="993" spans="1:9" x14ac:dyDescent="0.3">
      <c r="A993" s="1" t="s">
        <v>1010</v>
      </c>
      <c r="B993" s="1" t="s">
        <v>25</v>
      </c>
      <c r="C993" s="1">
        <v>180</v>
      </c>
      <c r="D993" s="1">
        <v>43</v>
      </c>
      <c r="E993" s="1" t="s">
        <v>10</v>
      </c>
      <c r="F993" s="1">
        <v>48592</v>
      </c>
      <c r="G993" s="1" t="str">
        <f t="shared" si="45"/>
        <v>Sufficient</v>
      </c>
      <c r="H993" s="1">
        <f t="shared" si="46"/>
        <v>8746560</v>
      </c>
      <c r="I993" s="1">
        <f t="shared" si="47"/>
        <v>9718.4</v>
      </c>
    </row>
    <row r="994" spans="1:9" x14ac:dyDescent="0.3">
      <c r="A994" s="1" t="s">
        <v>1011</v>
      </c>
      <c r="B994" s="1" t="s">
        <v>29</v>
      </c>
      <c r="C994" s="1">
        <v>8</v>
      </c>
      <c r="D994" s="1">
        <v>49</v>
      </c>
      <c r="E994" s="1" t="s">
        <v>16</v>
      </c>
      <c r="F994" s="1">
        <v>59869</v>
      </c>
      <c r="G994" s="1" t="str">
        <f t="shared" si="45"/>
        <v>Low Stock</v>
      </c>
      <c r="H994" s="1">
        <f t="shared" si="46"/>
        <v>478952</v>
      </c>
      <c r="I994" s="1">
        <f t="shared" si="47"/>
        <v>11973.800000000001</v>
      </c>
    </row>
    <row r="995" spans="1:9" x14ac:dyDescent="0.3">
      <c r="A995" s="1" t="s">
        <v>1012</v>
      </c>
      <c r="B995" s="1" t="s">
        <v>25</v>
      </c>
      <c r="C995" s="1">
        <v>41</v>
      </c>
      <c r="D995" s="1">
        <v>27</v>
      </c>
      <c r="E995" s="1" t="s">
        <v>8</v>
      </c>
      <c r="F995" s="1">
        <v>77890</v>
      </c>
      <c r="G995" s="1" t="str">
        <f t="shared" si="45"/>
        <v>Sufficient</v>
      </c>
      <c r="H995" s="1">
        <f t="shared" si="46"/>
        <v>3193490</v>
      </c>
      <c r="I995" s="1">
        <f t="shared" si="47"/>
        <v>15578</v>
      </c>
    </row>
    <row r="996" spans="1:9" x14ac:dyDescent="0.3">
      <c r="A996" s="1" t="s">
        <v>1013</v>
      </c>
      <c r="B996" s="1" t="s">
        <v>23</v>
      </c>
      <c r="C996" s="1">
        <v>17</v>
      </c>
      <c r="D996" s="1">
        <v>14</v>
      </c>
      <c r="E996" s="1" t="s">
        <v>26</v>
      </c>
      <c r="F996" s="1">
        <v>36195</v>
      </c>
      <c r="G996" s="1" t="str">
        <f t="shared" si="45"/>
        <v>Sufficient</v>
      </c>
      <c r="H996" s="1">
        <f t="shared" si="46"/>
        <v>615315</v>
      </c>
      <c r="I996" s="1">
        <f t="shared" si="47"/>
        <v>7239</v>
      </c>
    </row>
    <row r="997" spans="1:9" x14ac:dyDescent="0.3">
      <c r="A997" s="1" t="s">
        <v>1014</v>
      </c>
      <c r="B997" s="1" t="s">
        <v>25</v>
      </c>
      <c r="C997" s="1">
        <v>26</v>
      </c>
      <c r="D997" s="1">
        <v>11</v>
      </c>
      <c r="E997" s="1" t="s">
        <v>10</v>
      </c>
      <c r="F997" s="1">
        <v>1322</v>
      </c>
      <c r="G997" s="1" t="str">
        <f t="shared" si="45"/>
        <v>Sufficient</v>
      </c>
      <c r="H997" s="1">
        <f t="shared" si="46"/>
        <v>34372</v>
      </c>
      <c r="I997" s="1">
        <f t="shared" si="47"/>
        <v>264.40000000000003</v>
      </c>
    </row>
    <row r="998" spans="1:9" x14ac:dyDescent="0.3">
      <c r="A998" s="1" t="s">
        <v>1015</v>
      </c>
      <c r="B998" s="1" t="s">
        <v>12</v>
      </c>
      <c r="C998" s="1">
        <v>49</v>
      </c>
      <c r="D998" s="1">
        <v>21</v>
      </c>
      <c r="E998" s="1" t="s">
        <v>13</v>
      </c>
      <c r="F998" s="1">
        <v>44554</v>
      </c>
      <c r="G998" s="1" t="str">
        <f t="shared" si="45"/>
        <v>Sufficient</v>
      </c>
      <c r="H998" s="1">
        <f t="shared" si="46"/>
        <v>2183146</v>
      </c>
      <c r="I998" s="1">
        <f t="shared" si="47"/>
        <v>8910.8000000000011</v>
      </c>
    </row>
    <row r="999" spans="1:9" x14ac:dyDescent="0.3">
      <c r="A999" s="1" t="s">
        <v>1016</v>
      </c>
      <c r="B999" s="1" t="s">
        <v>20</v>
      </c>
      <c r="C999" s="1">
        <v>50</v>
      </c>
      <c r="D999" s="1">
        <v>50</v>
      </c>
      <c r="E999" s="1" t="s">
        <v>26</v>
      </c>
      <c r="F999" s="1">
        <v>40547</v>
      </c>
      <c r="G999" s="1" t="str">
        <f t="shared" si="45"/>
        <v>Low Stock</v>
      </c>
      <c r="H999" s="1">
        <f t="shared" si="46"/>
        <v>2027350</v>
      </c>
      <c r="I999" s="1">
        <f t="shared" si="47"/>
        <v>8109.4000000000005</v>
      </c>
    </row>
    <row r="1000" spans="1:9" x14ac:dyDescent="0.3">
      <c r="A1000" s="1" t="s">
        <v>1017</v>
      </c>
      <c r="B1000" s="1" t="s">
        <v>12</v>
      </c>
      <c r="C1000" s="1">
        <v>32</v>
      </c>
      <c r="D1000" s="1">
        <v>23</v>
      </c>
      <c r="E1000" s="1" t="s">
        <v>8</v>
      </c>
      <c r="F1000" s="1">
        <v>49881</v>
      </c>
      <c r="G1000" s="1" t="str">
        <f t="shared" si="45"/>
        <v>Sufficient</v>
      </c>
      <c r="H1000" s="1">
        <f t="shared" si="46"/>
        <v>1596192</v>
      </c>
      <c r="I1000" s="1">
        <f t="shared" si="47"/>
        <v>9976.2000000000007</v>
      </c>
    </row>
    <row r="1001" spans="1:9" x14ac:dyDescent="0.3">
      <c r="A1001" s="1" t="s">
        <v>1018</v>
      </c>
      <c r="B1001" s="1" t="s">
        <v>15</v>
      </c>
      <c r="C1001" s="1">
        <v>59</v>
      </c>
      <c r="D1001" s="1">
        <v>21</v>
      </c>
      <c r="E1001" s="1" t="s">
        <v>13</v>
      </c>
      <c r="F1001" s="1">
        <v>65047</v>
      </c>
      <c r="G1001" s="1" t="str">
        <f t="shared" si="45"/>
        <v>Sufficient</v>
      </c>
      <c r="H1001" s="1">
        <f t="shared" si="46"/>
        <v>3837773</v>
      </c>
      <c r="I1001" s="1">
        <f t="shared" si="47"/>
        <v>13009.400000000001</v>
      </c>
    </row>
  </sheetData>
  <conditionalFormatting sqref="G2:G1001">
    <cfRule type="containsText" dxfId="1" priority="1" operator="containsText" text="Pending">
      <formula>NOT(ISERROR(SEARCH("Pending",G2)))</formula>
    </cfRule>
    <cfRule type="containsText" dxfId="0" priority="2" operator="containsText" text="Low">
      <formula>NOT(ISERROR(SEARCH("Low",G2)))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65CA-666F-4F55-9CBB-AAF5C22EE7DF}">
  <dimension ref="A3:B12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1022</v>
      </c>
      <c r="B3" t="s">
        <v>1024</v>
      </c>
    </row>
    <row r="4" spans="1:2" x14ac:dyDescent="0.3">
      <c r="A4" s="3" t="s">
        <v>12</v>
      </c>
      <c r="B4">
        <v>14740</v>
      </c>
    </row>
    <row r="5" spans="1:2" x14ac:dyDescent="0.3">
      <c r="A5" s="3" t="s">
        <v>25</v>
      </c>
      <c r="B5">
        <v>13626</v>
      </c>
    </row>
    <row r="6" spans="1:2" x14ac:dyDescent="0.3">
      <c r="A6" s="3" t="s">
        <v>7</v>
      </c>
      <c r="B6">
        <v>13279</v>
      </c>
    </row>
    <row r="7" spans="1:2" x14ac:dyDescent="0.3">
      <c r="A7" s="3" t="s">
        <v>29</v>
      </c>
      <c r="B7">
        <v>12292</v>
      </c>
    </row>
    <row r="8" spans="1:2" x14ac:dyDescent="0.3">
      <c r="A8" s="3" t="s">
        <v>23</v>
      </c>
      <c r="B8">
        <v>12086</v>
      </c>
    </row>
    <row r="9" spans="1:2" x14ac:dyDescent="0.3">
      <c r="A9" s="3" t="s">
        <v>18</v>
      </c>
      <c r="B9">
        <v>11837</v>
      </c>
    </row>
    <row r="10" spans="1:2" x14ac:dyDescent="0.3">
      <c r="A10" s="3" t="s">
        <v>15</v>
      </c>
      <c r="B10">
        <v>11714</v>
      </c>
    </row>
    <row r="11" spans="1:2" x14ac:dyDescent="0.3">
      <c r="A11" s="3" t="s">
        <v>20</v>
      </c>
      <c r="B11">
        <v>11549</v>
      </c>
    </row>
    <row r="12" spans="1:2" x14ac:dyDescent="0.3">
      <c r="A12" s="3" t="s">
        <v>1023</v>
      </c>
      <c r="B12">
        <v>101123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FAB3-C6C1-4557-85E6-5F60A44B27B8}">
  <dimension ref="A3:B9"/>
  <sheetViews>
    <sheetView workbookViewId="0">
      <selection activeCell="B4" sqref="B4"/>
    </sheetView>
  </sheetViews>
  <sheetFormatPr defaultRowHeight="14.4" x14ac:dyDescent="0.3"/>
  <cols>
    <col min="1" max="1" width="12.77734375" bestFit="1" customWidth="1"/>
    <col min="2" max="2" width="20" bestFit="1" customWidth="1"/>
  </cols>
  <sheetData>
    <row r="3" spans="1:2" x14ac:dyDescent="0.3">
      <c r="A3" s="2" t="s">
        <v>1022</v>
      </c>
      <c r="B3" t="s">
        <v>1025</v>
      </c>
    </row>
    <row r="4" spans="1:2" x14ac:dyDescent="0.3">
      <c r="A4" s="3" t="s">
        <v>8</v>
      </c>
      <c r="B4">
        <v>914665935</v>
      </c>
    </row>
    <row r="5" spans="1:2" x14ac:dyDescent="0.3">
      <c r="A5" s="3" t="s">
        <v>10</v>
      </c>
      <c r="B5">
        <v>845820010</v>
      </c>
    </row>
    <row r="6" spans="1:2" x14ac:dyDescent="0.3">
      <c r="A6" s="3" t="s">
        <v>26</v>
      </c>
      <c r="B6">
        <v>775942036</v>
      </c>
    </row>
    <row r="7" spans="1:2" x14ac:dyDescent="0.3">
      <c r="A7" s="3" t="s">
        <v>16</v>
      </c>
      <c r="B7">
        <v>773962089</v>
      </c>
    </row>
    <row r="8" spans="1:2" x14ac:dyDescent="0.3">
      <c r="A8" s="3" t="s">
        <v>13</v>
      </c>
      <c r="B8">
        <v>720803857</v>
      </c>
    </row>
    <row r="9" spans="1:2" x14ac:dyDescent="0.3">
      <c r="A9" s="3" t="s">
        <v>1023</v>
      </c>
      <c r="B9">
        <v>4031193927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inventory_dataset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Mehra</dc:creator>
  <cp:lastModifiedBy>Sachin Mehra</cp:lastModifiedBy>
  <dcterms:created xsi:type="dcterms:W3CDTF">2026-03-26T08:24:22Z</dcterms:created>
  <dcterms:modified xsi:type="dcterms:W3CDTF">2026-04-02T09:38:31Z</dcterms:modified>
</cp:coreProperties>
</file>